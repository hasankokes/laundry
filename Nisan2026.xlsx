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PELDA" sheetId="1" r:id="rId5"/>
    <sheet state="visible" name="istanbul palaz" sheetId="2" r:id="rId6"/>
    <sheet state="visible" name="MAGALOS" sheetId="3" r:id="rId7"/>
    <sheet state="visible" name="ALKAN" sheetId="4" r:id="rId8"/>
    <sheet state="visible" name="AYMİRA" sheetId="5" r:id="rId9"/>
    <sheet state="visible" name="PLUS" sheetId="6" r:id="rId10"/>
    <sheet state="visible" name="LEGEND" sheetId="7" r:id="rId11"/>
    <sheet state="visible" name="AVLONYA" sheetId="8" r:id="rId12"/>
    <sheet state="visible" name="APPLE" sheetId="9" r:id="rId13"/>
    <sheet state="visible" name="MEYZİ" sheetId="10" r:id="rId14"/>
    <sheet state="visible" name="ANTİK" sheetId="11" r:id="rId15"/>
    <sheet state="visible" name="RODION" sheetId="12" r:id="rId16"/>
    <sheet state="visible" name="MARİ" sheetId="13" r:id="rId17"/>
    <sheet state="visible" name="NENESSA" sheetId="14" r:id="rId18"/>
    <sheet state="visible" name="VAVİEN" sheetId="15" r:id="rId19"/>
    <sheet state="visible" name="FERAH" sheetId="16" r:id="rId20"/>
    <sheet state="visible" name="DREAM" sheetId="17" r:id="rId21"/>
    <sheet state="visible" name="MERKÜR" sheetId="18" r:id="rId22"/>
    <sheet state="visible" name="THE PERA" sheetId="19" r:id="rId23"/>
    <sheet state="visible" name="ERBOY" sheetId="20" r:id="rId24"/>
    <sheet state="visible" name="KARAKÖY" sheetId="21" r:id="rId25"/>
    <sheet state="visible" name="ARENA APART" sheetId="22" r:id="rId26"/>
    <sheet state="visible" name="ARENA RESORT" sheetId="23" r:id="rId27"/>
    <sheet state="visible" name="ARTPERA" sheetId="24" r:id="rId28"/>
    <sheet state="visible" name="MOS" sheetId="25" r:id="rId29"/>
    <sheet state="visible" name="K.SUİT" sheetId="26" r:id="rId30"/>
    <sheet state="visible" name="REYDEL" sheetId="27" r:id="rId31"/>
    <sheet state="visible" name="Sheet5" sheetId="28" r:id="rId32"/>
    <sheet state="visible" name="Sheet6" sheetId="29" r:id="rId33"/>
  </sheets>
  <definedNames/>
  <calcPr/>
</workbook>
</file>

<file path=xl/sharedStrings.xml><?xml version="1.0" encoding="utf-8"?>
<sst xmlns="http://schemas.openxmlformats.org/spreadsheetml/2006/main" count="1833" uniqueCount="105">
  <si>
    <t xml:space="preserve">  </t>
  </si>
  <si>
    <t>NUPELDA OTEL</t>
  </si>
  <si>
    <t>Nisan</t>
  </si>
  <si>
    <t>Hizmet Adı</t>
  </si>
  <si>
    <t>Fiyat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</si>
  <si>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</si>
  <si>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</si>
  <si>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</si>
  <si>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</si>
  <si>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</si>
  <si>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</si>
  <si>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</si>
  <si>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</si>
  <si>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</si>
  <si>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</si>
  <si>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</si>
  <si>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</si>
  <si>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</si>
  <si>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</si>
  <si>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</si>
  <si>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</si>
  <si>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</si>
  <si>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</si>
  <si>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</si>
  <si>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</si>
  <si>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</si>
  <si>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</si>
  <si>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</si>
  <si>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</si>
  <si>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</si>
  <si>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</si>
  <si>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</si>
  <si>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</si>
  <si>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</si>
  <si>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</si>
  <si>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</si>
  <si>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Çarşaf</t>
  </si>
  <si>
    <t>Nevresim</t>
  </si>
  <si>
    <t>Yastık Kılıfı</t>
  </si>
  <si>
    <t>Büyük Havlu</t>
  </si>
  <si>
    <t>Küçük Havlu</t>
  </si>
  <si>
    <t>El Havlusu</t>
  </si>
  <si>
    <t>Ayak Havlusu</t>
  </si>
  <si>
    <t>Traş Havlusu</t>
  </si>
  <si>
    <t>Bornoz</t>
  </si>
  <si>
    <t>Peştemal</t>
  </si>
  <si>
    <t>Pike</t>
  </si>
  <si>
    <t>Alez</t>
  </si>
  <si>
    <t>Yorgan</t>
  </si>
  <si>
    <t>Yastık</t>
  </si>
  <si>
    <t>Masa Örtüsü</t>
  </si>
  <si>
    <t>PERDE</t>
  </si>
  <si>
    <t>Kapak</t>
  </si>
  <si>
    <t>Bebek Çarşafı</t>
  </si>
  <si>
    <t>Bebek Nevresimi</t>
  </si>
  <si>
    <t>Hesaplama</t>
  </si>
  <si>
    <t>İRSALİYE</t>
  </si>
  <si>
    <t>Başlangıç Tarihi:</t>
  </si>
  <si>
    <t>Tarih</t>
  </si>
  <si>
    <t>Bitiş Tarihi:</t>
  </si>
  <si>
    <t>Müşteri</t>
  </si>
  <si>
    <t>V.K.N</t>
  </si>
  <si>
    <t>Adet</t>
  </si>
  <si>
    <t xml:space="preserve">Toplam </t>
  </si>
  <si>
    <t>PDF</t>
  </si>
  <si>
    <t>Toplam Fiyat</t>
  </si>
  <si>
    <t>istanbul plaz</t>
  </si>
  <si>
    <t>Peçete</t>
  </si>
  <si>
    <t>MAGALOS</t>
  </si>
  <si>
    <t>ALKAN OTEL</t>
  </si>
  <si>
    <t>AYMİRA OTEL</t>
  </si>
  <si>
    <t>pede</t>
  </si>
  <si>
    <t>PLUS OTEL</t>
  </si>
  <si>
    <t>LEGEND OTEL</t>
  </si>
  <si>
    <t>AVLONYA OTEL</t>
  </si>
  <si>
    <t>DORUK TDM</t>
  </si>
  <si>
    <t>MEYZİ</t>
  </si>
  <si>
    <t>DUYGU ARGUÇ</t>
  </si>
  <si>
    <t>KONYA BOZKIR</t>
  </si>
  <si>
    <t>MARİ GRUP</t>
  </si>
  <si>
    <t>NSB</t>
  </si>
  <si>
    <t>NOKTA ELEKTRİK</t>
  </si>
  <si>
    <t>NURAN</t>
  </si>
  <si>
    <t>TİMUR</t>
  </si>
  <si>
    <t>MERKÜR</t>
  </si>
  <si>
    <t>kılım</t>
  </si>
  <si>
    <t>THE PERA TURİZM OTELCILIK</t>
  </si>
  <si>
    <t>9ö</t>
  </si>
  <si>
    <t>HOTEL ERBOY</t>
  </si>
  <si>
    <t>RUNNER</t>
  </si>
  <si>
    <t>SİNAN</t>
  </si>
  <si>
    <t xml:space="preserve"> </t>
  </si>
  <si>
    <t>ARENA APART</t>
  </si>
  <si>
    <t>0741123928</t>
  </si>
  <si>
    <t>ARENA RESORT</t>
  </si>
  <si>
    <t>Kilim</t>
  </si>
  <si>
    <t>0741175040</t>
  </si>
  <si>
    <t xml:space="preserve">UNIVERSO TOUR TURİZM TİCARET LTD
</t>
  </si>
  <si>
    <t>elmise yıkama</t>
  </si>
  <si>
    <t>ART KUAFOR</t>
  </si>
  <si>
    <t>0010816355</t>
  </si>
  <si>
    <t>K.SUİT</t>
  </si>
  <si>
    <t>KARUL TURİZİM VE DEKOROSYON</t>
  </si>
  <si>
    <t>25260061122</t>
  </si>
  <si>
    <t>REYDEL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</si>
</sst>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₺]#,##0.00"/>
  </numFmts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2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8" fillId="0" fontId="4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4" fontId="2" numFmtId="0" xfId="0" applyAlignment="1" applyBorder="1" applyFill="1" applyFont="1">
      <alignment readingOrder="0"/>
    </xf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3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4" fillId="0" fontId="1" numFmtId="0" xfId="0" applyBorder="1" applyFont="1"/>
    <xf borderId="4" fillId="0" fontId="1" numFmtId="164" xfId="0" applyBorder="1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3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 shrinkToFit="0" vertical="center" wrapText="0"/>
    </xf>
    <xf borderId="3" fillId="0" fontId="2" numFmtId="49" xfId="0" applyAlignment="1" applyBorder="1" applyFont="1" applyNumberFormat="1">
      <alignment horizontal="left" readingOrder="0"/>
    </xf>
    <xf borderId="3" fillId="0" fontId="1" numFmtId="49" xfId="0" applyAlignment="1" applyBorder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7">
    <tableStyle count="4" pivot="0" name="NUPEL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tanbul pala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GAL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K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YMİ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LON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YZİ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Tİ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D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İ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NES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Vİ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RA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E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KÜ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E P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RBO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KÖ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ENA AP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ENA RES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TP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.SUİ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YDE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30</xdr:row>
      <xdr:rowOff>219075</xdr:rowOff>
    </xdr:from>
    <xdr:ext cx="438150" cy="438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G22" displayName="Table1" name="Table1" id="1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NUPELDA-style" showColumnStripes="0" showFirstColumn="1" showLastColumn="1" showRowStripes="1"/>
</table>
</file>

<file path=xl/tables/table2.xml><?xml version="1.0" encoding="utf-8"?>
<table xmlns="http://schemas.openxmlformats.org/spreadsheetml/2006/main" ref="A3:AG22" displayName="Table1_3" name="Table1_3" id="2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istanbul palaz-style" showColumnStripes="0" showFirstColumn="1" showLastColumn="1" showRowStripes="1"/>
</table>
</file>

<file path=xl/tables/table3.xml><?xml version="1.0" encoding="utf-8"?>
<table xmlns="http://schemas.openxmlformats.org/spreadsheetml/2006/main" ref="A3:AG22" displayName="Table1_27" name="Table1_27" id="3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MAGALOS-style" showColumnStripes="0" showFirstColumn="1" showLastColumn="1" showRowStripes="1"/>
</table>
</file>

<file path=xl/tables/table4.xml><?xml version="1.0" encoding="utf-8"?>
<table xmlns="http://schemas.openxmlformats.org/spreadsheetml/2006/main" ref="A3:AG22" displayName="Table1_2" name="Table1_2" id="4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LKAN-style" showColumnStripes="0" showFirstColumn="1" showLastColumn="1" showRowStripes="1"/>
</table>
</file>

<file path=xl/tables/table5.xml><?xml version="1.0" encoding="utf-8"?>
<table xmlns="http://schemas.openxmlformats.org/spreadsheetml/2006/main" ref="A3:AG23" displayName="Table1_4" name="Table1_4" id="5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YMİRA-style" showColumnStripes="0" showFirstColumn="1" showLastColumn="1" showRowStripes="1"/>
</table>
</file>

<file path=xl/tables/table6.xml><?xml version="1.0" encoding="utf-8"?>
<table xmlns="http://schemas.openxmlformats.org/spreadsheetml/2006/main" ref="A3:AG22" displayName="Table1_8" name="Table1_8" id="6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PLUS-style" showColumnStripes="0" showFirstColumn="1" showLastColumn="1" showRowStripes="1"/>
</table>
</file>

<file path=xl/tables/table7.xml><?xml version="1.0" encoding="utf-8"?>
<table xmlns="http://schemas.openxmlformats.org/spreadsheetml/2006/main" ref="A3:AG22" displayName="Table1_7" name="Table1_7" id="7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LEGEND-style" showColumnStripes="0" showFirstColumn="1" showLastColumn="1" showRowStripes="1"/>
</table>
</file>

<file path=xl/tables/table8.xml><?xml version="1.0" encoding="utf-8"?>
<table xmlns="http://schemas.openxmlformats.org/spreadsheetml/2006/main" ref="A3:AG22" displayName="Table1_6" name="Table1_6" id="8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VLONYA-style" showColumnStripes="0" showFirstColumn="1" showLastColumn="1" showRowStripes="1"/>
</table>
</file>

<file path=xl/tables/table9.xml><?xml version="1.0" encoding="utf-8"?>
<table xmlns="http://schemas.openxmlformats.org/spreadsheetml/2006/main" ref="A3:AG22" displayName="Table1_5" name="Table1_5" id="9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PPLE-style" showColumnStripes="0" showFirstColumn="1" showLastColumn="1" showRowStripes="1"/>
</table>
</file>

<file path=xl/tables/table10.xml><?xml version="1.0" encoding="utf-8"?>
<table xmlns="http://schemas.openxmlformats.org/spreadsheetml/2006/main" ref="A3:AG22" displayName="Table1_9" name="Table1_9" id="10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MEYZİ-style" showColumnStripes="0" showFirstColumn="1" showLastColumn="1" showRowStripes="1"/>
</table>
</file>

<file path=xl/tables/table11.xml><?xml version="1.0" encoding="utf-8"?>
<table xmlns="http://schemas.openxmlformats.org/spreadsheetml/2006/main" ref="A3:AG22" displayName="Table1_14" name="Table1_14" id="11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NTİK-style" showColumnStripes="0" showFirstColumn="1" showLastColumn="1" showRowStripes="1"/>
</table>
</file>

<file path=xl/tables/table12.xml><?xml version="1.0" encoding="utf-8"?>
<table xmlns="http://schemas.openxmlformats.org/spreadsheetml/2006/main" ref="A3:AG22" displayName="Table1_13" name="Table1_13" id="12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RODION-style" showColumnStripes="0" showFirstColumn="1" showLastColumn="1" showRowStripes="1"/>
</table>
</file>

<file path=xl/tables/table13.xml><?xml version="1.0" encoding="utf-8"?>
<table xmlns="http://schemas.openxmlformats.org/spreadsheetml/2006/main" ref="A3:AG22" displayName="Table1_12" name="Table1_12" id="13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MARİ-style" showColumnStripes="0" showFirstColumn="1" showLastColumn="1" showRowStripes="1"/>
</table>
</file>

<file path=xl/tables/table14.xml><?xml version="1.0" encoding="utf-8"?>
<table xmlns="http://schemas.openxmlformats.org/spreadsheetml/2006/main" ref="A3:AG22" displayName="Table1_10" name="Table1_10" id="14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NENESSA-style" showColumnStripes="0" showFirstColumn="1" showLastColumn="1" showRowStripes="1"/>
</table>
</file>

<file path=xl/tables/table15.xml><?xml version="1.0" encoding="utf-8"?>
<table xmlns="http://schemas.openxmlformats.org/spreadsheetml/2006/main" ref="A3:AG22" displayName="Table1_11" name="Table1_11" id="15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VAVİEN-style" showColumnStripes="0" showFirstColumn="1" showLastColumn="1" showRowStripes="1"/>
</table>
</file>

<file path=xl/tables/table16.xml><?xml version="1.0" encoding="utf-8"?>
<table xmlns="http://schemas.openxmlformats.org/spreadsheetml/2006/main" ref="A3:AG22" displayName="Table1_15" name="Table1_15" id="16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FERAH-style" showColumnStripes="0" showFirstColumn="1" showLastColumn="1" showRowStripes="1"/>
</table>
</file>

<file path=xl/tables/table17.xml><?xml version="1.0" encoding="utf-8"?>
<table xmlns="http://schemas.openxmlformats.org/spreadsheetml/2006/main" ref="A3:AG22" displayName="Table1_16" name="Table1_16" id="17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DREAM-style" showColumnStripes="0" showFirstColumn="1" showLastColumn="1" showRowStripes="1"/>
</table>
</file>

<file path=xl/tables/table18.xml><?xml version="1.0" encoding="utf-8"?>
<table xmlns="http://schemas.openxmlformats.org/spreadsheetml/2006/main" ref="A3:AG23" displayName="Table1_20" name="Table1_20" id="18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MERKÜR-style" showColumnStripes="0" showFirstColumn="1" showLastColumn="1" showRowStripes="1"/>
</table>
</file>

<file path=xl/tables/table19.xml><?xml version="1.0" encoding="utf-8"?>
<table xmlns="http://schemas.openxmlformats.org/spreadsheetml/2006/main" ref="A3:AG22" displayName="Table1_19" name="Table1_19" id="19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THE PERA-style" showColumnStripes="0" showFirstColumn="1" showLastColumn="1" showRowStripes="1"/>
</table>
</file>

<file path=xl/tables/table20.xml><?xml version="1.0" encoding="utf-8"?>
<table xmlns="http://schemas.openxmlformats.org/spreadsheetml/2006/main" ref="A3:AG22" displayName="Table1_21" name="Table1_21" id="20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ERBOY-style" showColumnStripes="0" showFirstColumn="1" showLastColumn="1" showRowStripes="1"/>
</table>
</file>

<file path=xl/tables/table21.xml><?xml version="1.0" encoding="utf-8"?>
<table xmlns="http://schemas.openxmlformats.org/spreadsheetml/2006/main" ref="A3:AG22" displayName="Table1_17" name="Table1_17" id="21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KARAKÖY-style" showColumnStripes="0" showFirstColumn="1" showLastColumn="1" showRowStripes="1"/>
</table>
</file>

<file path=xl/tables/table22.xml><?xml version="1.0" encoding="utf-8"?>
<table xmlns="http://schemas.openxmlformats.org/spreadsheetml/2006/main" ref="A3:AG22" displayName="Table1_22" name="Table1_22" id="22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RENA APART-style" showColumnStripes="0" showFirstColumn="1" showLastColumn="1" showRowStripes="1"/>
</table>
</file>

<file path=xl/tables/table23.xml><?xml version="1.0" encoding="utf-8"?>
<table xmlns="http://schemas.openxmlformats.org/spreadsheetml/2006/main" ref="A3:AG22" displayName="Table1_23" name="Table1_23" id="23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RENA RESORT-style" showColumnStripes="0" showFirstColumn="1" showLastColumn="1" showRowStripes="1"/>
</table>
</file>

<file path=xl/tables/table24.xml><?xml version="1.0" encoding="utf-8"?>
<table xmlns="http://schemas.openxmlformats.org/spreadsheetml/2006/main" ref="A3:AG22" displayName="Table1_18" name="Table1_18" id="24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ARTPERA-style" showColumnStripes="0" showFirstColumn="1" showLastColumn="1" showRowStripes="1"/>
</table>
</file>

<file path=xl/tables/table25.xml><?xml version="1.0" encoding="utf-8"?>
<table xmlns="http://schemas.openxmlformats.org/spreadsheetml/2006/main" ref="A3:AG22" displayName="Table1_24" name="Table1_24" id="25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MOS-style" showColumnStripes="0" showFirstColumn="1" showLastColumn="1" showRowStripes="1"/>
</table>
</file>

<file path=xl/tables/table26.xml><?xml version="1.0" encoding="utf-8"?>
<table xmlns="http://schemas.openxmlformats.org/spreadsheetml/2006/main" ref="A3:AG22" displayName="Table1_25" name="Table1_25" id="26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K.SUİT-style" showColumnStripes="0" showFirstColumn="1" showLastColumn="1" showRowStripes="1"/>
</table>
</file>

<file path=xl/tables/table27.xml><?xml version="1.0" encoding="utf-8"?>
<table xmlns="http://schemas.openxmlformats.org/spreadsheetml/2006/main" ref="A3:AG22" displayName="Table1_26" name="Table1_26" id="27">
  <tableColumns count="33">
    <tableColumn name="Hizmet Adı" id="1"/>
    <tableColumn name="Fiyat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  <tableColumn name="24" id="26"/>
    <tableColumn name="25" id="27"/>
    <tableColumn name="26" id="28"/>
    <tableColumn name="27" id="29"/>
    <tableColumn name="28" id="30"/>
    <tableColumn name="29" id="31"/>
    <tableColumn name="30" id="32"/>
    <tableColumn name="31" id="33"/>
  </tableColumns>
  <tableStyleInfo name="REYD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21" width="5.63"/>
    <col customWidth="1" min="22" max="22" width="6.38"/>
    <col customWidth="1" min="23" max="24" width="6.0"/>
    <col customWidth="1" min="25" max="33" width="5.63"/>
  </cols>
  <sheetData>
    <row r="1">
      <c r="A1" s="1" t="s">
        <v>0</v>
      </c>
      <c r="B1" s="1" t="s">
        <v>1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4"/>
      <c r="X2" s="4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7" t="s">
        <v>24</v>
      </c>
      <c r="W3" s="7" t="s">
        <v>25</v>
      </c>
      <c r="X3" s="7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21.5</v>
      </c>
      <c r="C4" s="10">
        <v>9.0</v>
      </c>
      <c r="D4" s="8">
        <v>9.0</v>
      </c>
      <c r="E4" s="8">
        <v>16.0</v>
      </c>
      <c r="F4" s="8">
        <v>20.0</v>
      </c>
      <c r="G4" s="8"/>
      <c r="H4" s="8"/>
      <c r="I4" s="8"/>
      <c r="J4" s="11"/>
      <c r="K4" s="8"/>
      <c r="L4" s="11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36.25</v>
      </c>
      <c r="C5" s="12">
        <v>13.0</v>
      </c>
      <c r="D5" s="8">
        <v>11.0</v>
      </c>
      <c r="E5" s="8">
        <v>16.0</v>
      </c>
      <c r="F5" s="8">
        <v>23.0</v>
      </c>
      <c r="G5" s="8"/>
      <c r="H5" s="8"/>
      <c r="I5" s="8"/>
      <c r="J5" s="11"/>
      <c r="K5" s="11"/>
      <c r="L5" s="11"/>
      <c r="M5" s="11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15.0</v>
      </c>
      <c r="C6" s="10">
        <v>25.0</v>
      </c>
      <c r="D6" s="8">
        <v>21.0</v>
      </c>
      <c r="E6" s="8">
        <v>40.0</v>
      </c>
      <c r="F6" s="8">
        <v>31.0</v>
      </c>
      <c r="G6" s="13"/>
      <c r="H6" s="8"/>
      <c r="I6" s="8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21.5</v>
      </c>
      <c r="C7" s="10">
        <v>20.0</v>
      </c>
      <c r="D7" s="8">
        <v>19.0</v>
      </c>
      <c r="E7" s="8">
        <v>18.0</v>
      </c>
      <c r="F7" s="8">
        <v>14.0</v>
      </c>
      <c r="G7" s="8"/>
      <c r="H7" s="8"/>
      <c r="I7" s="8"/>
      <c r="J7" s="11"/>
      <c r="K7" s="8"/>
      <c r="L7" s="11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15.0</v>
      </c>
      <c r="C8" s="10">
        <v>7.0</v>
      </c>
      <c r="D8" s="8">
        <v>5.0</v>
      </c>
      <c r="E8" s="8">
        <v>11.0</v>
      </c>
      <c r="F8" s="8">
        <v>8.0</v>
      </c>
      <c r="G8" s="8"/>
      <c r="H8" s="8"/>
      <c r="I8" s="8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15.0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11.5</v>
      </c>
      <c r="C10" s="10"/>
      <c r="D10" s="8"/>
      <c r="E10" s="8">
        <v>3.0</v>
      </c>
      <c r="F10" s="8">
        <v>1.0</v>
      </c>
      <c r="G10" s="8"/>
      <c r="H10" s="8"/>
      <c r="I10" s="8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8"/>
      <c r="E13" s="15"/>
      <c r="F13" s="15"/>
      <c r="G13" s="11"/>
      <c r="H13" s="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37.0</v>
      </c>
      <c r="C14" s="10"/>
      <c r="D14" s="15"/>
      <c r="E14" s="8">
        <v>2.0</v>
      </c>
      <c r="F14" s="15"/>
      <c r="G14" s="8"/>
      <c r="H14" s="8"/>
      <c r="I14" s="8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25.0</v>
      </c>
      <c r="C15" s="10">
        <v>1.0</v>
      </c>
      <c r="D15" s="8">
        <v>1.0</v>
      </c>
      <c r="E15" s="8"/>
      <c r="F15" s="8">
        <v>3.0</v>
      </c>
      <c r="G15" s="8"/>
      <c r="H15" s="8"/>
      <c r="I15" s="8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8"/>
      <c r="E16" s="15"/>
      <c r="F16" s="8"/>
      <c r="G16" s="8"/>
      <c r="H16" s="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>
        <v>7.0</v>
      </c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51</v>
      </c>
      <c r="B19" s="9">
        <v>250.0</v>
      </c>
      <c r="C19" s="10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20.0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15.0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12.0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NUPELDA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54</v>
      </c>
      <c r="J30" s="28">
        <f>IFERROR(__xludf.DUMMYFUNCTION("FILTER(
  B4:B22, 
  MMULT(
    ARRAYFORMULA(
      N(C4:AG22&lt;&gt;"""") * (COLUMN(C4:AG22)&gt;=($B$25+2)) * (COLUMN(C4:AG22)&lt;=($B$26+2))
    ),
    TRANSPOSE(COLUMN(C4:AG22)^0)
  )
)"),21.5)</f>
        <v>21.5</v>
      </c>
      <c r="L30" s="28">
        <f t="shared" ref="L30:L41" si="2">H30*J30</f>
        <v>1161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63</v>
      </c>
      <c r="J31" s="28">
        <f>IFERROR(__xludf.DUMMYFUNCTION("""COMPUTED_VALUE"""),36.25)</f>
        <v>36.25</v>
      </c>
      <c r="L31" s="28">
        <f t="shared" si="2"/>
        <v>2283.75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117</v>
      </c>
      <c r="J32" s="28">
        <f>IFERROR(__xludf.DUMMYFUNCTION("""COMPUTED_VALUE"""),15.0)</f>
        <v>15</v>
      </c>
      <c r="L32" s="28">
        <f t="shared" si="2"/>
        <v>1755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71</v>
      </c>
      <c r="J33" s="28">
        <f>IFERROR(__xludf.DUMMYFUNCTION("""COMPUTED_VALUE"""),21.5)</f>
        <v>21.5</v>
      </c>
      <c r="L33" s="28">
        <f t="shared" si="2"/>
        <v>1526.5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31</v>
      </c>
      <c r="J34" s="28">
        <f>IFERROR(__xludf.DUMMYFUNCTION("""COMPUTED_VALUE"""),15.0)</f>
        <v>15</v>
      </c>
      <c r="L34" s="28">
        <f t="shared" si="2"/>
        <v>465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4</v>
      </c>
      <c r="J35" s="28">
        <f>IFERROR(__xludf.DUMMYFUNCTION("""COMPUTED_VALUE"""),11.5)</f>
        <v>11.5</v>
      </c>
      <c r="L35" s="28">
        <f t="shared" si="2"/>
        <v>46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2</v>
      </c>
      <c r="J36" s="28">
        <f>IFERROR(__xludf.DUMMYFUNCTION("""COMPUTED_VALUE"""),37.0)</f>
        <v>37</v>
      </c>
      <c r="L36" s="28">
        <f t="shared" si="2"/>
        <v>74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IFERROR(__xludf.DUMMYFUNCTION("""COMPUTED_VALUE"""),"Alez")</f>
        <v>Alez</v>
      </c>
      <c r="H37" s="1">
        <f t="shared" si="1"/>
        <v>5</v>
      </c>
      <c r="J37" s="28">
        <f>IFERROR(__xludf.DUMMYFUNCTION("""COMPUTED_VALUE"""),25.0)</f>
        <v>25</v>
      </c>
      <c r="L37" s="28">
        <f t="shared" si="2"/>
        <v>125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 t="str">
        <f>IFERROR(__xludf.DUMMYFUNCTION("""COMPUTED_VALUE"""),"Masa Örtüsü")</f>
        <v>Masa Örtüsü</v>
      </c>
      <c r="H38" s="1">
        <f t="shared" si="1"/>
        <v>7</v>
      </c>
      <c r="J38" s="28">
        <f>IFERROR(__xludf.DUMMYFUNCTION("""COMPUTED_VALUE"""),50.0)</f>
        <v>50</v>
      </c>
      <c r="L38" s="28">
        <f t="shared" si="2"/>
        <v>350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7786.25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66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20.0</v>
      </c>
      <c r="C4" s="10">
        <v>25.0</v>
      </c>
      <c r="D4" s="8">
        <v>21.0</v>
      </c>
      <c r="E4" s="8">
        <v>16.0</v>
      </c>
      <c r="F4" s="8">
        <v>20.0</v>
      </c>
      <c r="G4" s="8">
        <v>14.0</v>
      </c>
      <c r="H4" s="8">
        <v>13.0</v>
      </c>
      <c r="I4" s="8"/>
      <c r="J4" s="8"/>
      <c r="K4" s="8"/>
      <c r="L4" s="8"/>
      <c r="M4" s="8"/>
      <c r="N4" s="8"/>
      <c r="O4" s="8"/>
      <c r="P4" s="8"/>
      <c r="Q4" s="8"/>
      <c r="R4" s="8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25.0</v>
      </c>
      <c r="C5" s="10">
        <v>18.0</v>
      </c>
      <c r="D5" s="8">
        <v>16.0</v>
      </c>
      <c r="E5" s="8">
        <v>9.0</v>
      </c>
      <c r="F5" s="8">
        <v>13.0</v>
      </c>
      <c r="G5" s="8">
        <v>13.0</v>
      </c>
      <c r="H5" s="8">
        <v>13.0</v>
      </c>
      <c r="I5" s="8"/>
      <c r="J5" s="8"/>
      <c r="K5" s="8"/>
      <c r="L5" s="8"/>
      <c r="M5" s="8"/>
      <c r="N5" s="8"/>
      <c r="O5" s="8"/>
      <c r="P5" s="8"/>
      <c r="Q5" s="8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10.0</v>
      </c>
      <c r="C6" s="10">
        <v>54.0</v>
      </c>
      <c r="D6" s="8">
        <v>47.0</v>
      </c>
      <c r="E6" s="8">
        <v>22.0</v>
      </c>
      <c r="F6" s="8">
        <v>49.0</v>
      </c>
      <c r="G6" s="8">
        <v>35.0</v>
      </c>
      <c r="H6" s="8">
        <v>30.0</v>
      </c>
      <c r="I6" s="8"/>
      <c r="J6" s="8"/>
      <c r="K6" s="8"/>
      <c r="L6" s="8"/>
      <c r="M6" s="8"/>
      <c r="N6" s="8"/>
      <c r="O6" s="8"/>
      <c r="P6" s="8"/>
      <c r="Q6" s="8"/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18.0</v>
      </c>
      <c r="C7" s="10">
        <v>22.0</v>
      </c>
      <c r="D7" s="8">
        <v>23.0</v>
      </c>
      <c r="E7" s="8">
        <v>13.0</v>
      </c>
      <c r="F7" s="8">
        <v>20.0</v>
      </c>
      <c r="G7" s="8">
        <v>24.0</v>
      </c>
      <c r="H7" s="8">
        <v>18.0</v>
      </c>
      <c r="I7" s="8"/>
      <c r="J7" s="8"/>
      <c r="K7" s="8"/>
      <c r="L7" s="8"/>
      <c r="M7" s="8"/>
      <c r="N7" s="8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10.0</v>
      </c>
      <c r="C8" s="10">
        <v>3.0</v>
      </c>
      <c r="D8" s="8">
        <v>7.0</v>
      </c>
      <c r="E8" s="8">
        <v>9.0</v>
      </c>
      <c r="F8" s="8">
        <v>18.0</v>
      </c>
      <c r="G8" s="8">
        <v>15.0</v>
      </c>
      <c r="H8" s="8">
        <v>13.0</v>
      </c>
      <c r="I8" s="8"/>
      <c r="J8" s="8"/>
      <c r="K8" s="8"/>
      <c r="L8" s="8"/>
      <c r="M8" s="8"/>
      <c r="N8" s="8"/>
      <c r="O8" s="8"/>
      <c r="P8" s="8"/>
      <c r="Q8" s="8"/>
      <c r="R8" s="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/>
      <c r="B9" s="9"/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10.0</v>
      </c>
      <c r="C10" s="10">
        <v>13.0</v>
      </c>
      <c r="D10" s="8">
        <v>10.0</v>
      </c>
      <c r="E10" s="8">
        <v>10.0</v>
      </c>
      <c r="F10" s="8">
        <v>14.0</v>
      </c>
      <c r="G10" s="8">
        <v>10.0</v>
      </c>
      <c r="H10" s="8">
        <v>7.0</v>
      </c>
      <c r="I10" s="11"/>
      <c r="J10" s="11"/>
      <c r="K10" s="8"/>
      <c r="L10" s="8"/>
      <c r="M10" s="8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8">
        <v>1.0</v>
      </c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istanbul plaz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109</v>
      </c>
      <c r="J30" s="28">
        <f>IFERROR(__xludf.DUMMYFUNCTION("FILTER(
  B4:B22, 
  MMULT(
    ARRAYFORMULA(
      N(C4:AG22&lt;&gt;"""") * (COLUMN(C4:AG22)&gt;=($B$25+2)) * (COLUMN(C4:AG22)&lt;=($B$26+2))
    ),
    TRANSPOSE(COLUMN(C4:AG22)^0)
  )
)"),20.0)</f>
        <v>20</v>
      </c>
      <c r="L30" s="28">
        <f t="shared" ref="L30:L41" si="2">H30*J30</f>
        <v>2180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82</v>
      </c>
      <c r="J31" s="28">
        <f>IFERROR(__xludf.DUMMYFUNCTION("""COMPUTED_VALUE"""),25.0)</f>
        <v>25</v>
      </c>
      <c r="L31" s="28">
        <f t="shared" si="2"/>
        <v>2050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237</v>
      </c>
      <c r="J32" s="28">
        <f>IFERROR(__xludf.DUMMYFUNCTION("""COMPUTED_VALUE"""),10.0)</f>
        <v>10</v>
      </c>
      <c r="L32" s="28">
        <f t="shared" si="2"/>
        <v>2370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120</v>
      </c>
      <c r="J33" s="28">
        <f>IFERROR(__xludf.DUMMYFUNCTION("""COMPUTED_VALUE"""),18.0)</f>
        <v>18</v>
      </c>
      <c r="L33" s="28">
        <f t="shared" si="2"/>
        <v>2160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65</v>
      </c>
      <c r="J34" s="28">
        <f>IFERROR(__xludf.DUMMYFUNCTION("""COMPUTED_VALUE"""),10.0)</f>
        <v>10</v>
      </c>
      <c r="L34" s="28">
        <f t="shared" si="2"/>
        <v>650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64</v>
      </c>
      <c r="J35" s="28">
        <f>IFERROR(__xludf.DUMMYFUNCTION("""COMPUTED_VALUE"""),10.0)</f>
        <v>10</v>
      </c>
      <c r="L35" s="28">
        <f t="shared" si="2"/>
        <v>640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1</v>
      </c>
      <c r="J36" s="28">
        <f>IFERROR(__xludf.DUMMYFUNCTION("""COMPUTED_VALUE"""),35.0)</f>
        <v>35</v>
      </c>
      <c r="L36" s="28">
        <f t="shared" si="2"/>
        <v>35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10085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68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30.0</v>
      </c>
      <c r="C4" s="10">
        <v>14.0</v>
      </c>
      <c r="D4" s="8">
        <v>19.0</v>
      </c>
      <c r="E4" s="8">
        <v>22.0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35.0</v>
      </c>
      <c r="C5" s="10">
        <v>15.0</v>
      </c>
      <c r="D5" s="8">
        <v>17.0</v>
      </c>
      <c r="E5" s="8">
        <v>21.0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33.0</v>
      </c>
      <c r="D6" s="8">
        <v>38.0</v>
      </c>
      <c r="E6" s="8">
        <v>44.0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14.05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9.5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/>
      <c r="B9" s="9"/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9.5</v>
      </c>
      <c r="C10" s="10"/>
      <c r="D10" s="8"/>
      <c r="E10" s="8"/>
      <c r="F10" s="8"/>
      <c r="G10" s="8"/>
      <c r="H10" s="8"/>
      <c r="I10" s="11"/>
      <c r="J10" s="11"/>
      <c r="K10" s="8"/>
      <c r="L10" s="8"/>
      <c r="M10" s="8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8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MAGALOS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55</v>
      </c>
      <c r="J30" s="28">
        <f>IFERROR(__xludf.DUMMYFUNCTION("FILTER(
  B4:B22, 
  MMULT(
    ARRAYFORMULA(
      N(C4:AG22&lt;&gt;"""") * (COLUMN(C4:AG22)&gt;=($B$25+2)) * (COLUMN(C4:AG22)&lt;=($B$26+2))
    ),
    TRANSPOSE(COLUMN(C4:AG22)^0)
  )
)"),30.0)</f>
        <v>30</v>
      </c>
      <c r="L30" s="28">
        <f t="shared" ref="L30:L41" si="2">H30*J30</f>
        <v>1650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53</v>
      </c>
      <c r="J31" s="28">
        <f>IFERROR(__xludf.DUMMYFUNCTION("""COMPUTED_VALUE"""),35.0)</f>
        <v>35</v>
      </c>
      <c r="L31" s="28">
        <f t="shared" si="2"/>
        <v>1855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115</v>
      </c>
      <c r="J32" s="28">
        <f>IFERROR(__xludf.DUMMYFUNCTION("""COMPUTED_VALUE"""),19.0)</f>
        <v>19</v>
      </c>
      <c r="L32" s="28">
        <f t="shared" si="2"/>
        <v>2185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5690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69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21.0</v>
      </c>
      <c r="C4" s="10">
        <v>4.0</v>
      </c>
      <c r="D4" s="8">
        <v>12.0</v>
      </c>
      <c r="E4" s="8">
        <v>5.0</v>
      </c>
      <c r="F4" s="8">
        <v>9.0</v>
      </c>
      <c r="G4" s="8">
        <v>5.0</v>
      </c>
      <c r="H4" s="8">
        <v>6.0</v>
      </c>
      <c r="I4" s="8">
        <v>9.0</v>
      </c>
      <c r="J4" s="8">
        <v>10.0</v>
      </c>
      <c r="K4" s="8">
        <v>5.0</v>
      </c>
      <c r="L4" s="8">
        <v>6.0</v>
      </c>
      <c r="M4" s="8">
        <v>6.0</v>
      </c>
      <c r="N4" s="8">
        <v>5.0</v>
      </c>
      <c r="O4" s="8">
        <v>6.0</v>
      </c>
      <c r="P4" s="8">
        <v>10.0</v>
      </c>
      <c r="Q4" s="8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30.0</v>
      </c>
      <c r="C5" s="10">
        <v>4.0</v>
      </c>
      <c r="D5" s="8">
        <v>6.0</v>
      </c>
      <c r="E5" s="8">
        <v>5.0</v>
      </c>
      <c r="F5" s="8">
        <v>5.0</v>
      </c>
      <c r="G5" s="8">
        <v>4.0</v>
      </c>
      <c r="H5" s="8">
        <v>6.0</v>
      </c>
      <c r="I5" s="8">
        <v>9.0</v>
      </c>
      <c r="J5" s="8">
        <v>2.0</v>
      </c>
      <c r="K5" s="8">
        <v>5.0</v>
      </c>
      <c r="L5" s="8">
        <v>3.0</v>
      </c>
      <c r="M5" s="8">
        <v>5.0</v>
      </c>
      <c r="N5" s="8">
        <v>5.0</v>
      </c>
      <c r="O5" s="8">
        <v>4.0</v>
      </c>
      <c r="P5" s="8">
        <v>7.0</v>
      </c>
      <c r="Q5" s="8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13.0</v>
      </c>
      <c r="C6" s="10">
        <v>10.0</v>
      </c>
      <c r="D6" s="8">
        <v>18.0</v>
      </c>
      <c r="E6" s="8">
        <v>9.0</v>
      </c>
      <c r="F6" s="8">
        <v>16.0</v>
      </c>
      <c r="G6" s="8">
        <v>14.0</v>
      </c>
      <c r="H6" s="8">
        <v>15.0</v>
      </c>
      <c r="I6" s="8">
        <v>19.0</v>
      </c>
      <c r="J6" s="8">
        <v>13.0</v>
      </c>
      <c r="K6" s="8">
        <v>14.0</v>
      </c>
      <c r="L6" s="8">
        <v>10.0</v>
      </c>
      <c r="M6" s="8">
        <v>12.0</v>
      </c>
      <c r="N6" s="8">
        <v>10.0</v>
      </c>
      <c r="O6" s="8">
        <v>9.0</v>
      </c>
      <c r="P6" s="8">
        <v>18.0</v>
      </c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19.0</v>
      </c>
      <c r="C7" s="10">
        <v>20.0</v>
      </c>
      <c r="D7" s="8">
        <v>35.0</v>
      </c>
      <c r="E7" s="8">
        <v>16.0</v>
      </c>
      <c r="F7" s="8">
        <v>19.0</v>
      </c>
      <c r="G7" s="8">
        <v>23.0</v>
      </c>
      <c r="H7" s="8">
        <v>22.0</v>
      </c>
      <c r="I7" s="8">
        <v>25.0</v>
      </c>
      <c r="J7" s="8">
        <v>22.0</v>
      </c>
      <c r="K7" s="8">
        <v>11.0</v>
      </c>
      <c r="L7" s="8">
        <v>21.0</v>
      </c>
      <c r="M7" s="8">
        <v>19.0</v>
      </c>
      <c r="N7" s="8">
        <v>17.0</v>
      </c>
      <c r="O7" s="8">
        <v>34.0</v>
      </c>
      <c r="P7" s="8">
        <v>20.0</v>
      </c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13.0</v>
      </c>
      <c r="C8" s="10">
        <v>18.0</v>
      </c>
      <c r="D8" s="8">
        <v>25.0</v>
      </c>
      <c r="E8" s="8">
        <v>15.0</v>
      </c>
      <c r="F8" s="8">
        <v>15.0</v>
      </c>
      <c r="G8" s="8">
        <v>17.0</v>
      </c>
      <c r="H8" s="8">
        <v>13.0</v>
      </c>
      <c r="I8" s="8">
        <v>20.0</v>
      </c>
      <c r="J8" s="8">
        <v>17.0</v>
      </c>
      <c r="K8" s="8">
        <v>9.0</v>
      </c>
      <c r="L8" s="8">
        <v>15.0</v>
      </c>
      <c r="M8" s="8">
        <v>12.0</v>
      </c>
      <c r="N8" s="8">
        <v>15.0</v>
      </c>
      <c r="O8" s="8">
        <v>23.0</v>
      </c>
      <c r="P8" s="8">
        <v>15.0</v>
      </c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15.0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13.0</v>
      </c>
      <c r="C10" s="10">
        <v>8.0</v>
      </c>
      <c r="D10" s="8">
        <v>13.0</v>
      </c>
      <c r="E10" s="8">
        <v>8.0</v>
      </c>
      <c r="F10" s="8">
        <v>9.0</v>
      </c>
      <c r="G10" s="8">
        <v>10.0</v>
      </c>
      <c r="H10" s="8">
        <v>9.0</v>
      </c>
      <c r="I10" s="8">
        <v>17.0</v>
      </c>
      <c r="J10" s="8">
        <v>8.0</v>
      </c>
      <c r="K10" s="8">
        <v>5.0</v>
      </c>
      <c r="L10" s="8">
        <v>9.0</v>
      </c>
      <c r="M10" s="8">
        <v>6.0</v>
      </c>
      <c r="N10" s="8">
        <v>9.0</v>
      </c>
      <c r="O10" s="8">
        <v>14.0</v>
      </c>
      <c r="P10" s="8">
        <v>9.0</v>
      </c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40.0</v>
      </c>
      <c r="C14" s="10"/>
      <c r="D14" s="8"/>
      <c r="E14" s="8"/>
      <c r="F14" s="8">
        <v>1.0</v>
      </c>
      <c r="G14" s="8"/>
      <c r="H14" s="8"/>
      <c r="I14" s="8">
        <v>1.0</v>
      </c>
      <c r="J14" s="8">
        <v>2.0</v>
      </c>
      <c r="K14" s="8">
        <v>1.0</v>
      </c>
      <c r="L14" s="8">
        <v>2.0</v>
      </c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37.0</v>
      </c>
      <c r="C15" s="14"/>
      <c r="D15" s="15"/>
      <c r="E15" s="15"/>
      <c r="F15" s="8"/>
      <c r="G15" s="8"/>
      <c r="H15" s="11"/>
      <c r="I15" s="11"/>
      <c r="J15" s="11"/>
      <c r="K15" s="11"/>
      <c r="L15" s="8"/>
      <c r="M15" s="11"/>
      <c r="N15" s="8"/>
      <c r="O15" s="11"/>
      <c r="P15" s="8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8"/>
      <c r="E16" s="15"/>
      <c r="F16" s="8"/>
      <c r="G16" s="11"/>
      <c r="H16" s="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ALKAN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98</v>
      </c>
      <c r="J30" s="28">
        <f>IFERROR(__xludf.DUMMYFUNCTION("FILTER(
  B4:B22, 
  MMULT(
    ARRAYFORMULA(
      N(C4:AG22&lt;&gt;"""") * (COLUMN(C4:AG22)&gt;=($B$25+2)) * (COLUMN(C4:AG22)&lt;=($B$26+2))
    ),
    TRANSPOSE(COLUMN(C4:AG22)^0)
  )
)"),21.0)</f>
        <v>21</v>
      </c>
      <c r="L30" s="28">
        <f t="shared" ref="L30:L41" si="2">H30*J30</f>
        <v>2058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70</v>
      </c>
      <c r="J31" s="28">
        <f>IFERROR(__xludf.DUMMYFUNCTION("""COMPUTED_VALUE"""),30.0)</f>
        <v>30</v>
      </c>
      <c r="L31" s="28">
        <f t="shared" si="2"/>
        <v>2100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187</v>
      </c>
      <c r="J32" s="28">
        <f>IFERROR(__xludf.DUMMYFUNCTION("""COMPUTED_VALUE"""),13.0)</f>
        <v>13</v>
      </c>
      <c r="L32" s="28">
        <f t="shared" si="2"/>
        <v>2431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304</v>
      </c>
      <c r="J33" s="28">
        <f>IFERROR(__xludf.DUMMYFUNCTION("""COMPUTED_VALUE"""),19.0)</f>
        <v>19</v>
      </c>
      <c r="L33" s="28">
        <f t="shared" si="2"/>
        <v>5776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229</v>
      </c>
      <c r="J34" s="28">
        <f>IFERROR(__xludf.DUMMYFUNCTION("""COMPUTED_VALUE"""),13.0)</f>
        <v>13</v>
      </c>
      <c r="L34" s="28">
        <f t="shared" si="2"/>
        <v>2977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134</v>
      </c>
      <c r="J35" s="28">
        <f>IFERROR(__xludf.DUMMYFUNCTION("""COMPUTED_VALUE"""),13.0)</f>
        <v>13</v>
      </c>
      <c r="L35" s="28">
        <f t="shared" si="2"/>
        <v>1742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7</v>
      </c>
      <c r="J36" s="28">
        <f>IFERROR(__xludf.DUMMYFUNCTION("""COMPUTED_VALUE"""),40.0)</f>
        <v>40</v>
      </c>
      <c r="L36" s="28">
        <f t="shared" si="2"/>
        <v>280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17364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>
        <v>9.0</v>
      </c>
      <c r="B1" s="1" t="s">
        <v>70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21.5</v>
      </c>
      <c r="C4" s="10">
        <v>14.0</v>
      </c>
      <c r="D4" s="8">
        <v>34.0</v>
      </c>
      <c r="E4" s="8">
        <v>8.0</v>
      </c>
      <c r="F4" s="8">
        <v>14.0</v>
      </c>
      <c r="G4" s="8">
        <v>12.0</v>
      </c>
      <c r="H4" s="8">
        <v>6.0</v>
      </c>
      <c r="I4" s="8">
        <v>14.0</v>
      </c>
      <c r="J4" s="8">
        <v>11.0</v>
      </c>
      <c r="K4" s="8">
        <v>26.0</v>
      </c>
      <c r="L4" s="8">
        <v>10.0</v>
      </c>
      <c r="M4" s="8">
        <v>16.0</v>
      </c>
      <c r="N4" s="8">
        <v>11.0</v>
      </c>
      <c r="O4" s="8">
        <v>21.0</v>
      </c>
      <c r="P4" s="8">
        <v>4.0</v>
      </c>
      <c r="Q4" s="8">
        <v>14.0</v>
      </c>
      <c r="R4" s="8">
        <v>16.0</v>
      </c>
      <c r="S4" s="8">
        <v>9.0</v>
      </c>
      <c r="T4" s="8">
        <v>12.0</v>
      </c>
      <c r="U4" s="8">
        <v>8.0</v>
      </c>
      <c r="V4" s="8">
        <v>11.0</v>
      </c>
      <c r="W4" s="8"/>
      <c r="X4" s="8"/>
      <c r="Y4" s="8"/>
      <c r="Z4" s="8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36.25</v>
      </c>
      <c r="C5" s="10">
        <v>14.0</v>
      </c>
      <c r="D5" s="8">
        <v>36.0</v>
      </c>
      <c r="E5" s="8">
        <v>8.0</v>
      </c>
      <c r="F5" s="8">
        <v>13.0</v>
      </c>
      <c r="G5" s="8">
        <v>10.0</v>
      </c>
      <c r="H5" s="8">
        <v>12.0</v>
      </c>
      <c r="I5" s="8">
        <v>17.0</v>
      </c>
      <c r="J5" s="8">
        <v>20.0</v>
      </c>
      <c r="K5" s="8">
        <v>22.0</v>
      </c>
      <c r="L5" s="8">
        <v>14.0</v>
      </c>
      <c r="M5" s="8">
        <v>15.0</v>
      </c>
      <c r="N5" s="8">
        <v>17.0</v>
      </c>
      <c r="O5" s="8">
        <v>25.0</v>
      </c>
      <c r="P5" s="8">
        <v>2.0</v>
      </c>
      <c r="Q5" s="8">
        <v>17.0</v>
      </c>
      <c r="R5" s="8">
        <v>17.0</v>
      </c>
      <c r="S5" s="8">
        <v>8.0</v>
      </c>
      <c r="T5" s="8">
        <v>14.0</v>
      </c>
      <c r="U5" s="8">
        <v>7.0</v>
      </c>
      <c r="V5" s="8">
        <v>13.0</v>
      </c>
      <c r="W5" s="8"/>
      <c r="X5" s="8"/>
      <c r="Y5" s="8"/>
      <c r="Z5" s="8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15.0</v>
      </c>
      <c r="C6" s="10">
        <v>37.0</v>
      </c>
      <c r="D6" s="8">
        <v>76.0</v>
      </c>
      <c r="E6" s="8">
        <v>17.0</v>
      </c>
      <c r="F6" s="8">
        <v>36.0</v>
      </c>
      <c r="G6" s="8">
        <v>29.0</v>
      </c>
      <c r="H6" s="8">
        <v>35.0</v>
      </c>
      <c r="I6" s="8">
        <v>24.0</v>
      </c>
      <c r="J6" s="8">
        <v>35.0</v>
      </c>
      <c r="K6" s="8">
        <v>42.0</v>
      </c>
      <c r="L6" s="8">
        <v>28.0</v>
      </c>
      <c r="M6" s="8">
        <v>49.0</v>
      </c>
      <c r="N6" s="8">
        <v>21.0</v>
      </c>
      <c r="O6" s="8">
        <v>49.0</v>
      </c>
      <c r="P6" s="8">
        <v>4.0</v>
      </c>
      <c r="Q6" s="8">
        <v>24.0</v>
      </c>
      <c r="R6" s="8">
        <v>39.0</v>
      </c>
      <c r="S6" s="8">
        <v>20.0</v>
      </c>
      <c r="T6" s="8">
        <v>23.0</v>
      </c>
      <c r="U6" s="8">
        <v>17.0</v>
      </c>
      <c r="V6" s="8">
        <v>29.0</v>
      </c>
      <c r="W6" s="8"/>
      <c r="X6" s="8"/>
      <c r="Y6" s="8"/>
      <c r="Z6" s="8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21.5</v>
      </c>
      <c r="C7" s="10">
        <v>25.0</v>
      </c>
      <c r="D7" s="8">
        <v>40.0</v>
      </c>
      <c r="E7" s="8">
        <v>11.0</v>
      </c>
      <c r="F7" s="8">
        <v>20.0</v>
      </c>
      <c r="G7" s="8">
        <v>10.0</v>
      </c>
      <c r="H7" s="8">
        <v>15.0</v>
      </c>
      <c r="I7" s="8">
        <v>17.0</v>
      </c>
      <c r="J7" s="8">
        <v>19.0</v>
      </c>
      <c r="K7" s="8">
        <v>21.0</v>
      </c>
      <c r="L7" s="8">
        <v>15.0</v>
      </c>
      <c r="M7" s="8">
        <v>22.0</v>
      </c>
      <c r="N7" s="8">
        <v>18.0</v>
      </c>
      <c r="O7" s="8">
        <v>29.0</v>
      </c>
      <c r="P7" s="8">
        <v>35.0</v>
      </c>
      <c r="Q7" s="8">
        <v>21.0</v>
      </c>
      <c r="R7" s="8">
        <v>26.0</v>
      </c>
      <c r="S7" s="8">
        <v>10.0</v>
      </c>
      <c r="T7" s="8">
        <v>13.0</v>
      </c>
      <c r="U7" s="8">
        <v>14.0</v>
      </c>
      <c r="V7" s="8">
        <v>15.0</v>
      </c>
      <c r="W7" s="8"/>
      <c r="X7" s="8"/>
      <c r="Y7" s="8"/>
      <c r="Z7" s="8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15.0</v>
      </c>
      <c r="C8" s="10">
        <v>6.0</v>
      </c>
      <c r="D8" s="8">
        <v>19.0</v>
      </c>
      <c r="E8" s="8">
        <v>8.0</v>
      </c>
      <c r="F8" s="8">
        <v>8.0</v>
      </c>
      <c r="G8" s="8">
        <v>9.0</v>
      </c>
      <c r="H8" s="8">
        <v>3.0</v>
      </c>
      <c r="I8" s="8">
        <v>8.0</v>
      </c>
      <c r="J8" s="8">
        <v>10.0</v>
      </c>
      <c r="K8" s="8">
        <v>5.0</v>
      </c>
      <c r="L8" s="8">
        <v>5.0</v>
      </c>
      <c r="M8" s="8">
        <v>12.0</v>
      </c>
      <c r="N8" s="8">
        <v>7.0</v>
      </c>
      <c r="O8" s="8">
        <v>13.0</v>
      </c>
      <c r="P8" s="8">
        <v>12.0</v>
      </c>
      <c r="Q8" s="8">
        <v>12.0</v>
      </c>
      <c r="R8" s="8">
        <v>9.0</v>
      </c>
      <c r="S8" s="8">
        <v>6.0</v>
      </c>
      <c r="T8" s="8">
        <v>5.0</v>
      </c>
      <c r="U8" s="8">
        <v>6.0</v>
      </c>
      <c r="V8" s="8">
        <v>8.0</v>
      </c>
      <c r="W8" s="8"/>
      <c r="X8" s="8"/>
      <c r="Y8" s="8"/>
      <c r="Z8" s="8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11.5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15.0</v>
      </c>
      <c r="C10" s="10">
        <v>3.0</v>
      </c>
      <c r="D10" s="8"/>
      <c r="E10" s="8">
        <v>6.0</v>
      </c>
      <c r="F10" s="8"/>
      <c r="G10" s="8"/>
      <c r="H10" s="8">
        <v>1.0</v>
      </c>
      <c r="I10" s="8"/>
      <c r="J10" s="8">
        <v>2.0</v>
      </c>
      <c r="K10" s="8">
        <v>2.0</v>
      </c>
      <c r="L10" s="8">
        <v>4.0</v>
      </c>
      <c r="M10" s="8">
        <v>5.0</v>
      </c>
      <c r="N10" s="8"/>
      <c r="O10" s="8">
        <v>4.0</v>
      </c>
      <c r="P10" s="8"/>
      <c r="Q10" s="8">
        <v>2.0</v>
      </c>
      <c r="R10" s="8"/>
      <c r="S10" s="8"/>
      <c r="T10" s="8">
        <v>5.0</v>
      </c>
      <c r="U10" s="8"/>
      <c r="V10" s="8">
        <v>1.0</v>
      </c>
      <c r="W10" s="8"/>
      <c r="X10" s="8"/>
      <c r="Y10" s="8"/>
      <c r="Z10" s="8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46.0</v>
      </c>
      <c r="C14" s="14"/>
      <c r="D14" s="15"/>
      <c r="E14" s="15"/>
      <c r="F14" s="15"/>
      <c r="G14" s="8"/>
      <c r="H14" s="8"/>
      <c r="I14" s="11"/>
      <c r="J14" s="11"/>
      <c r="K14" s="11"/>
      <c r="L14" s="8"/>
      <c r="M14" s="8"/>
      <c r="N14" s="11"/>
      <c r="O14" s="11"/>
      <c r="P14" s="11"/>
      <c r="Q14" s="11"/>
      <c r="R14" s="11"/>
      <c r="S14" s="11"/>
      <c r="T14" s="11"/>
      <c r="U14" s="8"/>
      <c r="V14" s="11"/>
      <c r="W14" s="8"/>
      <c r="X14" s="8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25.0</v>
      </c>
      <c r="C15" s="10"/>
      <c r="D15" s="8">
        <v>2.0</v>
      </c>
      <c r="E15" s="8"/>
      <c r="F15" s="8">
        <v>1.0</v>
      </c>
      <c r="G15" s="8">
        <v>2.0</v>
      </c>
      <c r="H15" s="8">
        <v>4.0</v>
      </c>
      <c r="I15" s="8">
        <v>2.0</v>
      </c>
      <c r="J15" s="8">
        <v>1.0</v>
      </c>
      <c r="K15" s="8">
        <v>2.0</v>
      </c>
      <c r="L15" s="8">
        <v>1.0</v>
      </c>
      <c r="M15" s="8">
        <v>1.0</v>
      </c>
      <c r="N15" s="8"/>
      <c r="O15" s="8">
        <v>1.0</v>
      </c>
      <c r="P15" s="8"/>
      <c r="Q15" s="8"/>
      <c r="R15" s="8"/>
      <c r="S15" s="8">
        <v>1.0</v>
      </c>
      <c r="T15" s="8">
        <v>1.0</v>
      </c>
      <c r="U15" s="8"/>
      <c r="V15" s="8"/>
      <c r="W15" s="8"/>
      <c r="X15" s="8"/>
      <c r="Y15" s="8"/>
      <c r="Z15" s="8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0"/>
      <c r="D16" s="15"/>
      <c r="E16" s="8"/>
      <c r="F16" s="8"/>
      <c r="G16" s="11"/>
      <c r="H16" s="8">
        <v>2.0</v>
      </c>
      <c r="I16" s="11"/>
      <c r="J16" s="11"/>
      <c r="K16" s="8"/>
      <c r="L16" s="8"/>
      <c r="M16" s="11"/>
      <c r="N16" s="11"/>
      <c r="O16" s="11"/>
      <c r="P16" s="11"/>
      <c r="Q16" s="8"/>
      <c r="R16" s="11"/>
      <c r="S16" s="11"/>
      <c r="T16" s="11"/>
      <c r="U16" s="11"/>
      <c r="V16" s="8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55.0</v>
      </c>
      <c r="C17" s="10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20.0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51</v>
      </c>
      <c r="B19" s="9">
        <v>250.0</v>
      </c>
      <c r="C19" s="14"/>
      <c r="D19" s="8"/>
      <c r="E19" s="8"/>
      <c r="F19" s="15"/>
      <c r="G19" s="11"/>
      <c r="H19" s="11"/>
      <c r="I19" s="8"/>
      <c r="J19" s="11"/>
      <c r="K19" s="8"/>
      <c r="L19" s="11"/>
      <c r="M19" s="11"/>
      <c r="N19" s="11"/>
      <c r="O19" s="11"/>
      <c r="P19" s="8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15.0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15.0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22.5" customHeight="1">
      <c r="A23" s="44" t="s">
        <v>71</v>
      </c>
      <c r="B23" s="45"/>
      <c r="C23" s="46"/>
      <c r="D23" s="47"/>
      <c r="E23" s="47"/>
      <c r="F23" s="47"/>
      <c r="G23" s="48"/>
      <c r="H23" s="48"/>
      <c r="I23" s="44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AYMİRA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271</v>
      </c>
      <c r="J30" s="28">
        <f>IFERROR(__xludf.DUMMYFUNCTION("FILTER(
  B4:B22, 
  MMULT(
    ARRAYFORMULA(
      N(C4:AG22&lt;&gt;"""") * (COLUMN(C4:AG22)&gt;=($B$25+2)) * (COLUMN(C4:AG22)&lt;=($B$26+2))
    ),
    TRANSPOSE(COLUMN(C4:AG22)^0)
  )
)"),21.5)</f>
        <v>21.5</v>
      </c>
      <c r="L30" s="28">
        <f t="shared" ref="L30:L41" si="2">H30*J30</f>
        <v>5826.5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301</v>
      </c>
      <c r="J31" s="28">
        <f>IFERROR(__xludf.DUMMYFUNCTION("""COMPUTED_VALUE"""),36.25)</f>
        <v>36.25</v>
      </c>
      <c r="L31" s="28">
        <f t="shared" si="2"/>
        <v>10911.25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634</v>
      </c>
      <c r="J32" s="28">
        <f>IFERROR(__xludf.DUMMYFUNCTION("""COMPUTED_VALUE"""),15.0)</f>
        <v>15</v>
      </c>
      <c r="L32" s="28">
        <f t="shared" si="2"/>
        <v>9510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396</v>
      </c>
      <c r="J33" s="28">
        <f>IFERROR(__xludf.DUMMYFUNCTION("""COMPUTED_VALUE"""),21.5)</f>
        <v>21.5</v>
      </c>
      <c r="L33" s="28">
        <f t="shared" si="2"/>
        <v>8514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171</v>
      </c>
      <c r="J34" s="28">
        <f>IFERROR(__xludf.DUMMYFUNCTION("""COMPUTED_VALUE"""),15.0)</f>
        <v>15</v>
      </c>
      <c r="L34" s="28">
        <f t="shared" si="2"/>
        <v>2565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35</v>
      </c>
      <c r="J35" s="28">
        <f>IFERROR(__xludf.DUMMYFUNCTION("""COMPUTED_VALUE"""),15.0)</f>
        <v>15</v>
      </c>
      <c r="L35" s="28">
        <f t="shared" si="2"/>
        <v>525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IFERROR(__xludf.DUMMYFUNCTION("""COMPUTED_VALUE"""),"Alez")</f>
        <v>Alez</v>
      </c>
      <c r="H36" s="1">
        <f t="shared" si="1"/>
        <v>19</v>
      </c>
      <c r="J36" s="28">
        <f>IFERROR(__xludf.DUMMYFUNCTION("""COMPUTED_VALUE"""),25.0)</f>
        <v>25</v>
      </c>
      <c r="L36" s="28">
        <f t="shared" si="2"/>
        <v>475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IFERROR(__xludf.DUMMYFUNCTION("""COMPUTED_VALUE"""),"Yorgan")</f>
        <v>Yorgan</v>
      </c>
      <c r="H37" s="1">
        <f t="shared" si="1"/>
        <v>2</v>
      </c>
      <c r="J37" s="28">
        <f>IFERROR(__xludf.DUMMYFUNCTION("""COMPUTED_VALUE"""),110.0)</f>
        <v>110</v>
      </c>
      <c r="L37" s="28">
        <f t="shared" si="2"/>
        <v>220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38546.75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72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7.0</v>
      </c>
      <c r="D4" s="8">
        <v>8.0</v>
      </c>
      <c r="E4" s="8">
        <v>6.0</v>
      </c>
      <c r="F4" s="8">
        <v>8.0</v>
      </c>
      <c r="G4" s="8">
        <v>7.0</v>
      </c>
      <c r="H4" s="8"/>
      <c r="I4" s="8"/>
      <c r="J4" s="8"/>
      <c r="K4" s="8"/>
      <c r="L4" s="11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8.0</v>
      </c>
      <c r="D5" s="8">
        <v>8.0</v>
      </c>
      <c r="E5" s="8">
        <v>6.0</v>
      </c>
      <c r="F5" s="8">
        <v>8.0</v>
      </c>
      <c r="G5" s="8">
        <v>7.0</v>
      </c>
      <c r="H5" s="8"/>
      <c r="I5" s="8"/>
      <c r="J5" s="8"/>
      <c r="K5" s="11"/>
      <c r="L5" s="11"/>
      <c r="M5" s="11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14.0</v>
      </c>
      <c r="D6" s="8">
        <v>12.0</v>
      </c>
      <c r="E6" s="8">
        <v>16.0</v>
      </c>
      <c r="F6" s="8">
        <v>17.0</v>
      </c>
      <c r="G6" s="8">
        <v>13.0</v>
      </c>
      <c r="H6" s="8"/>
      <c r="I6" s="8"/>
      <c r="J6" s="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22.0</v>
      </c>
      <c r="C7" s="10">
        <v>17.0</v>
      </c>
      <c r="D7" s="8">
        <v>16.0</v>
      </c>
      <c r="E7" s="8">
        <v>12.0</v>
      </c>
      <c r="F7" s="8">
        <v>15.0</v>
      </c>
      <c r="G7" s="8">
        <v>18.0</v>
      </c>
      <c r="H7" s="8"/>
      <c r="I7" s="8"/>
      <c r="J7" s="8"/>
      <c r="K7" s="8"/>
      <c r="L7" s="11"/>
      <c r="M7" s="8"/>
      <c r="N7" s="11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11.0</v>
      </c>
      <c r="D8" s="8">
        <v>8.0</v>
      </c>
      <c r="E8" s="8">
        <v>7.0</v>
      </c>
      <c r="F8" s="8">
        <v>8.0</v>
      </c>
      <c r="G8" s="8">
        <v>14.0</v>
      </c>
      <c r="H8" s="8"/>
      <c r="I8" s="11"/>
      <c r="J8" s="11"/>
      <c r="K8" s="11"/>
      <c r="L8" s="11"/>
      <c r="M8" s="8"/>
      <c r="N8" s="11"/>
      <c r="O8" s="8"/>
      <c r="P8" s="8"/>
      <c r="Q8" s="11"/>
      <c r="R8" s="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14.0</v>
      </c>
      <c r="C9" s="10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>
        <v>6.0</v>
      </c>
      <c r="D10" s="8">
        <v>5.0</v>
      </c>
      <c r="E10" s="8">
        <v>5.0</v>
      </c>
      <c r="F10" s="8">
        <v>7.0</v>
      </c>
      <c r="G10" s="8">
        <v>7.0</v>
      </c>
      <c r="H10" s="8"/>
      <c r="I10" s="11"/>
      <c r="J10" s="11"/>
      <c r="K10" s="11"/>
      <c r="L10" s="11"/>
      <c r="M10" s="8"/>
      <c r="N10" s="11"/>
      <c r="O10" s="8"/>
      <c r="P10" s="8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8"/>
      <c r="E13" s="8">
        <v>2.0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8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35.0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0"/>
      <c r="D16" s="8"/>
      <c r="E16" s="8"/>
      <c r="F16" s="8"/>
      <c r="G16" s="8"/>
      <c r="H16" s="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8"/>
      <c r="G17" s="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PLUS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36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864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37</v>
      </c>
      <c r="J31" s="28">
        <f>IFERROR(__xludf.DUMMYFUNCTION("""COMPUTED_VALUE"""),27.0)</f>
        <v>27</v>
      </c>
      <c r="L31" s="28">
        <f t="shared" si="2"/>
        <v>999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72</v>
      </c>
      <c r="J32" s="28">
        <f>IFERROR(__xludf.DUMMYFUNCTION("""COMPUTED_VALUE"""),19.0)</f>
        <v>19</v>
      </c>
      <c r="L32" s="28">
        <f t="shared" si="2"/>
        <v>1368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78</v>
      </c>
      <c r="J33" s="28">
        <f>IFERROR(__xludf.DUMMYFUNCTION("""COMPUTED_VALUE"""),22.0)</f>
        <v>22</v>
      </c>
      <c r="L33" s="28">
        <f t="shared" si="2"/>
        <v>1716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48</v>
      </c>
      <c r="J34" s="28">
        <f>IFERROR(__xludf.DUMMYFUNCTION("""COMPUTED_VALUE"""),19.0)</f>
        <v>19</v>
      </c>
      <c r="L34" s="28">
        <f t="shared" si="2"/>
        <v>912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30</v>
      </c>
      <c r="J35" s="28">
        <f>IFERROR(__xludf.DUMMYFUNCTION("""COMPUTED_VALUE"""),19.0)</f>
        <v>19</v>
      </c>
      <c r="L35" s="28">
        <f t="shared" si="2"/>
        <v>570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IFERROR(__xludf.DUMMYFUNCTION("""COMPUTED_VALUE"""),"Peştemal")</f>
        <v>Peştemal</v>
      </c>
      <c r="H36" s="1">
        <f t="shared" si="1"/>
        <v>2</v>
      </c>
      <c r="J36" s="28">
        <f>IFERROR(__xludf.DUMMYFUNCTION("""COMPUTED_VALUE"""),15.0)</f>
        <v>15</v>
      </c>
      <c r="L36" s="28">
        <f t="shared" si="2"/>
        <v>30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6459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73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27.0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24.0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22.0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14.0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47.0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20.0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8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54.0</v>
      </c>
      <c r="C15" s="14"/>
      <c r="D15" s="15"/>
      <c r="E15" s="8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0"/>
      <c r="D16" s="15"/>
      <c r="E16" s="8"/>
      <c r="F16" s="8"/>
      <c r="G16" s="8"/>
      <c r="H16" s="8"/>
      <c r="I16" s="8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15.0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20.0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25.0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LEGEND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23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74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20.28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8" t="s">
        <v>37</v>
      </c>
      <c r="B5" s="9">
        <v>30.42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22.5" customHeight="1">
      <c r="A6" s="8" t="s">
        <v>38</v>
      </c>
      <c r="B6" s="9">
        <v>10.5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22.5" customHeight="1">
      <c r="A7" s="8" t="s">
        <v>39</v>
      </c>
      <c r="B7" s="9">
        <v>20.28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22.5" customHeight="1">
      <c r="A8" s="8" t="s">
        <v>40</v>
      </c>
      <c r="B8" s="9">
        <v>11.83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2.5" customHeight="1">
      <c r="A9" s="8" t="s">
        <v>41</v>
      </c>
      <c r="B9" s="9">
        <v>11.83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11.83</v>
      </c>
      <c r="C10" s="1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11"/>
      <c r="AG13" s="11"/>
    </row>
    <row r="14" ht="22.5" customHeight="1">
      <c r="A14" s="8" t="s">
        <v>46</v>
      </c>
      <c r="B14" s="9">
        <v>37.6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AVLONYA OTEL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1.050025516E9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5" width="5.63"/>
    <col customWidth="1" min="16" max="16" width="6.63"/>
    <col customWidth="1" min="17" max="33" width="5.63"/>
  </cols>
  <sheetData>
    <row r="1">
      <c r="A1" s="1" t="s">
        <v>60</v>
      </c>
      <c r="B1" s="1" t="s">
        <v>75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18.0</v>
      </c>
      <c r="D4" s="8">
        <v>10.0</v>
      </c>
      <c r="E4" s="8">
        <v>5.0</v>
      </c>
      <c r="F4" s="8">
        <v>10.0</v>
      </c>
      <c r="G4" s="8">
        <v>6.0</v>
      </c>
      <c r="H4" s="8">
        <v>9.0</v>
      </c>
      <c r="I4" s="8">
        <v>12.0</v>
      </c>
      <c r="J4" s="8">
        <v>10.0</v>
      </c>
      <c r="K4" s="8">
        <v>14.0</v>
      </c>
      <c r="L4" s="8">
        <v>5.0</v>
      </c>
      <c r="M4" s="8">
        <v>7.0</v>
      </c>
      <c r="N4" s="8">
        <v>8.0</v>
      </c>
      <c r="O4" s="8"/>
      <c r="P4" s="8"/>
      <c r="Q4" s="11"/>
      <c r="R4" s="8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16.0</v>
      </c>
      <c r="D5" s="8">
        <v>11.0</v>
      </c>
      <c r="E5" s="8">
        <v>7.0</v>
      </c>
      <c r="F5" s="8">
        <v>10.0</v>
      </c>
      <c r="G5" s="8">
        <v>7.0</v>
      </c>
      <c r="H5" s="8">
        <v>11.0</v>
      </c>
      <c r="I5" s="8">
        <v>13.0</v>
      </c>
      <c r="J5" s="8">
        <v>13.0</v>
      </c>
      <c r="K5" s="8">
        <v>16.0</v>
      </c>
      <c r="L5" s="8">
        <v>8.0</v>
      </c>
      <c r="M5" s="8">
        <v>10.0</v>
      </c>
      <c r="N5" s="8">
        <v>8.0</v>
      </c>
      <c r="O5" s="8"/>
      <c r="P5" s="8"/>
      <c r="Q5" s="11"/>
      <c r="R5" s="8"/>
      <c r="S5" s="11"/>
      <c r="T5" s="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41.0</v>
      </c>
      <c r="D6" s="8">
        <v>33.0</v>
      </c>
      <c r="E6" s="8">
        <v>20.0</v>
      </c>
      <c r="F6" s="8">
        <v>24.0</v>
      </c>
      <c r="G6" s="8">
        <v>17.0</v>
      </c>
      <c r="H6" s="8">
        <v>26.0</v>
      </c>
      <c r="I6" s="8">
        <v>34.0</v>
      </c>
      <c r="J6" s="8">
        <v>33.0</v>
      </c>
      <c r="K6" s="8">
        <v>52.0</v>
      </c>
      <c r="L6" s="8">
        <v>22.0</v>
      </c>
      <c r="M6" s="8">
        <v>23.0</v>
      </c>
      <c r="N6" s="8">
        <v>18.0</v>
      </c>
      <c r="O6" s="8"/>
      <c r="P6" s="8"/>
      <c r="Q6" s="11"/>
      <c r="R6" s="8"/>
      <c r="S6" s="11"/>
      <c r="T6" s="8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22.0</v>
      </c>
      <c r="C7" s="10">
        <v>52.0</v>
      </c>
      <c r="D7" s="8">
        <v>20.0</v>
      </c>
      <c r="E7" s="8">
        <v>13.0</v>
      </c>
      <c r="F7" s="8">
        <v>19.0</v>
      </c>
      <c r="G7" s="8">
        <v>17.0</v>
      </c>
      <c r="H7" s="8">
        <v>18.0</v>
      </c>
      <c r="I7" s="8">
        <v>31.0</v>
      </c>
      <c r="J7" s="8">
        <v>22.0</v>
      </c>
      <c r="K7" s="8">
        <v>31.0</v>
      </c>
      <c r="L7" s="8">
        <v>14.0</v>
      </c>
      <c r="M7" s="8">
        <v>13.0</v>
      </c>
      <c r="N7" s="8">
        <v>16.0</v>
      </c>
      <c r="O7" s="8"/>
      <c r="P7" s="8"/>
      <c r="Q7" s="8"/>
      <c r="R7" s="8"/>
      <c r="S7" s="11"/>
      <c r="T7" s="8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23.0</v>
      </c>
      <c r="D8" s="8">
        <v>20.0</v>
      </c>
      <c r="E8" s="8">
        <v>9.0</v>
      </c>
      <c r="F8" s="8">
        <v>16.0</v>
      </c>
      <c r="G8" s="8">
        <v>10.0</v>
      </c>
      <c r="H8" s="8">
        <v>16.0</v>
      </c>
      <c r="I8" s="8">
        <v>29.0</v>
      </c>
      <c r="J8" s="8">
        <v>16.0</v>
      </c>
      <c r="K8" s="8">
        <v>22.0</v>
      </c>
      <c r="L8" s="8">
        <v>14.0</v>
      </c>
      <c r="M8" s="8">
        <v>11.0</v>
      </c>
      <c r="N8" s="8">
        <v>13.0</v>
      </c>
      <c r="O8" s="8"/>
      <c r="P8" s="8"/>
      <c r="Q8" s="8"/>
      <c r="R8" s="8"/>
      <c r="S8" s="11"/>
      <c r="T8" s="8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19.0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>
        <v>9.0</v>
      </c>
      <c r="D10" s="8"/>
      <c r="E10" s="8">
        <v>5.0</v>
      </c>
      <c r="F10" s="8"/>
      <c r="G10" s="8">
        <v>7.0</v>
      </c>
      <c r="H10" s="8">
        <v>4.0</v>
      </c>
      <c r="I10" s="8">
        <v>10.0</v>
      </c>
      <c r="J10" s="8">
        <v>11.0</v>
      </c>
      <c r="K10" s="8">
        <v>10.0</v>
      </c>
      <c r="L10" s="8">
        <v>6.0</v>
      </c>
      <c r="M10" s="8">
        <v>7.0</v>
      </c>
      <c r="N10" s="8">
        <v>3.0</v>
      </c>
      <c r="O10" s="8"/>
      <c r="P10" s="8"/>
      <c r="Q10" s="8"/>
      <c r="R10" s="8"/>
      <c r="S10" s="11"/>
      <c r="T10" s="8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0">
        <v>3.0</v>
      </c>
      <c r="D14" s="8"/>
      <c r="E14" s="8"/>
      <c r="F14" s="8"/>
      <c r="G14" s="8">
        <v>1.0</v>
      </c>
      <c r="H14" s="8"/>
      <c r="I14" s="8">
        <v>1.0</v>
      </c>
      <c r="J14" s="8"/>
      <c r="K14" s="8"/>
      <c r="L14" s="8"/>
      <c r="M14" s="8">
        <v>3.0</v>
      </c>
      <c r="N14" s="8">
        <v>3.0</v>
      </c>
      <c r="O14" s="8"/>
      <c r="P14" s="11"/>
      <c r="Q14" s="11"/>
      <c r="R14" s="11"/>
      <c r="S14" s="11"/>
      <c r="T14" s="8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35.0</v>
      </c>
      <c r="C15" s="10">
        <v>2.0</v>
      </c>
      <c r="D15" s="8">
        <v>1.0</v>
      </c>
      <c r="E15" s="8"/>
      <c r="F15" s="8"/>
      <c r="G15" s="8"/>
      <c r="H15" s="11"/>
      <c r="I15" s="8">
        <v>1.0</v>
      </c>
      <c r="J15" s="8">
        <v>2.0</v>
      </c>
      <c r="K15" s="8"/>
      <c r="L15" s="8">
        <v>1.0</v>
      </c>
      <c r="M15" s="8">
        <v>1.0</v>
      </c>
      <c r="N15" s="8"/>
      <c r="O15" s="11"/>
      <c r="P15" s="8"/>
      <c r="Q15" s="11"/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4"/>
      <c r="D16" s="15"/>
      <c r="E16" s="15"/>
      <c r="F16" s="8"/>
      <c r="G16" s="11"/>
      <c r="H16" s="8"/>
      <c r="I16" s="8"/>
      <c r="J16" s="8"/>
      <c r="K16" s="8"/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8"/>
      <c r="N17" s="8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DORUK TDM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3.101460846E9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114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2736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130</v>
      </c>
      <c r="J31" s="28">
        <f>IFERROR(__xludf.DUMMYFUNCTION("""COMPUTED_VALUE"""),27.0)</f>
        <v>27</v>
      </c>
      <c r="L31" s="28">
        <f t="shared" si="2"/>
        <v>3510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343</v>
      </c>
      <c r="J32" s="28">
        <f>IFERROR(__xludf.DUMMYFUNCTION("""COMPUTED_VALUE"""),19.0)</f>
        <v>19</v>
      </c>
      <c r="L32" s="28">
        <f t="shared" si="2"/>
        <v>6517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266</v>
      </c>
      <c r="J33" s="28">
        <f>IFERROR(__xludf.DUMMYFUNCTION("""COMPUTED_VALUE"""),22.0)</f>
        <v>22</v>
      </c>
      <c r="L33" s="28">
        <f t="shared" si="2"/>
        <v>5852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199</v>
      </c>
      <c r="J34" s="28">
        <f>IFERROR(__xludf.DUMMYFUNCTION("""COMPUTED_VALUE"""),19.0)</f>
        <v>19</v>
      </c>
      <c r="L34" s="28">
        <f t="shared" si="2"/>
        <v>3781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72</v>
      </c>
      <c r="J35" s="28">
        <f>IFERROR(__xludf.DUMMYFUNCTION("""COMPUTED_VALUE"""),19.0)</f>
        <v>19</v>
      </c>
      <c r="L35" s="28">
        <f t="shared" si="2"/>
        <v>1368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11</v>
      </c>
      <c r="J36" s="28">
        <f>IFERROR(__xludf.DUMMYFUNCTION("""COMPUTED_VALUE"""),35.0)</f>
        <v>35</v>
      </c>
      <c r="L36" s="28">
        <f t="shared" si="2"/>
        <v>385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IFERROR(__xludf.DUMMYFUNCTION("""COMPUTED_VALUE"""),"Alez")</f>
        <v>Alez</v>
      </c>
      <c r="H37" s="1">
        <f t="shared" si="1"/>
        <v>8</v>
      </c>
      <c r="J37" s="28">
        <f>IFERROR(__xludf.DUMMYFUNCTION("""COMPUTED_VALUE"""),35.0)</f>
        <v>35</v>
      </c>
      <c r="L37" s="28">
        <f t="shared" si="2"/>
        <v>280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24429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76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15.0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22.0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9.0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19.0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23.0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10.0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10.0</v>
      </c>
      <c r="C10" s="1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8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8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MEYZİ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6.201578589E9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/>
      <c r="B1" s="1" t="s">
        <v>77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3.0</v>
      </c>
      <c r="D4" s="8">
        <v>7.0</v>
      </c>
      <c r="E4" s="8">
        <v>8.0</v>
      </c>
      <c r="F4" s="8">
        <v>13.0</v>
      </c>
      <c r="G4" s="8">
        <v>10.0</v>
      </c>
      <c r="H4" s="8">
        <v>7.0</v>
      </c>
      <c r="I4" s="8">
        <v>5.0</v>
      </c>
      <c r="J4" s="8">
        <v>15.0</v>
      </c>
      <c r="K4" s="8">
        <v>6.0</v>
      </c>
      <c r="L4" s="8">
        <v>12.0</v>
      </c>
      <c r="M4" s="8">
        <v>8.0</v>
      </c>
      <c r="N4" s="8">
        <v>7.0</v>
      </c>
      <c r="O4" s="8">
        <v>11.0</v>
      </c>
      <c r="P4" s="8">
        <v>5.0</v>
      </c>
      <c r="Q4" s="8">
        <v>15.0</v>
      </c>
      <c r="R4" s="8">
        <v>5.0</v>
      </c>
      <c r="S4" s="8">
        <v>6.0</v>
      </c>
      <c r="T4" s="8">
        <v>8.0</v>
      </c>
      <c r="U4" s="8">
        <v>21.0</v>
      </c>
      <c r="V4" s="8">
        <v>11.0</v>
      </c>
      <c r="W4" s="8">
        <v>6.0</v>
      </c>
      <c r="X4" s="8"/>
      <c r="Y4" s="8"/>
      <c r="Z4" s="8"/>
      <c r="AA4" s="8"/>
      <c r="AB4" s="8"/>
      <c r="AC4" s="8"/>
      <c r="AD4" s="8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2.0</v>
      </c>
      <c r="D5" s="8">
        <v>9.0</v>
      </c>
      <c r="E5" s="8">
        <v>8.0</v>
      </c>
      <c r="F5" s="8">
        <v>12.0</v>
      </c>
      <c r="G5" s="8">
        <v>10.0</v>
      </c>
      <c r="H5" s="8">
        <v>4.0</v>
      </c>
      <c r="I5" s="8">
        <v>5.0</v>
      </c>
      <c r="J5" s="8">
        <v>12.0</v>
      </c>
      <c r="K5" s="8">
        <v>7.0</v>
      </c>
      <c r="L5" s="8">
        <v>14.0</v>
      </c>
      <c r="M5" s="8">
        <v>9.0</v>
      </c>
      <c r="N5" s="8">
        <v>8.0</v>
      </c>
      <c r="O5" s="8">
        <v>10.0</v>
      </c>
      <c r="P5" s="8">
        <v>8.0</v>
      </c>
      <c r="Q5" s="8">
        <v>12.0</v>
      </c>
      <c r="R5" s="8">
        <v>5.0</v>
      </c>
      <c r="S5" s="8">
        <v>6.0</v>
      </c>
      <c r="T5" s="8">
        <v>9.0</v>
      </c>
      <c r="U5" s="8">
        <v>21.0</v>
      </c>
      <c r="V5" s="8">
        <v>9.0</v>
      </c>
      <c r="W5" s="8">
        <v>10.0</v>
      </c>
      <c r="X5" s="8"/>
      <c r="Y5" s="8"/>
      <c r="Z5" s="8"/>
      <c r="AA5" s="8"/>
      <c r="AB5" s="8"/>
      <c r="AC5" s="8"/>
      <c r="AD5" s="8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9.0</v>
      </c>
      <c r="D6" s="8">
        <v>23.0</v>
      </c>
      <c r="E6" s="8">
        <v>24.0</v>
      </c>
      <c r="F6" s="8">
        <v>39.0</v>
      </c>
      <c r="G6" s="8">
        <v>41.0</v>
      </c>
      <c r="H6" s="8">
        <v>22.0</v>
      </c>
      <c r="I6" s="8">
        <v>20.0</v>
      </c>
      <c r="J6" s="8">
        <v>44.0</v>
      </c>
      <c r="K6" s="8">
        <v>28.0</v>
      </c>
      <c r="L6" s="8">
        <v>46.0</v>
      </c>
      <c r="M6" s="8">
        <v>25.0</v>
      </c>
      <c r="N6" s="8">
        <v>22.0</v>
      </c>
      <c r="O6" s="8">
        <v>43.0</v>
      </c>
      <c r="P6" s="8">
        <v>25.0</v>
      </c>
      <c r="Q6" s="8">
        <v>45.0</v>
      </c>
      <c r="R6" s="8">
        <v>20.0</v>
      </c>
      <c r="S6" s="8">
        <v>17.0</v>
      </c>
      <c r="T6" s="8">
        <v>30.0</v>
      </c>
      <c r="U6" s="8">
        <v>52.0</v>
      </c>
      <c r="V6" s="8">
        <v>40.0</v>
      </c>
      <c r="W6" s="8">
        <v>28.0</v>
      </c>
      <c r="X6" s="8"/>
      <c r="Y6" s="8"/>
      <c r="Z6" s="8"/>
      <c r="AA6" s="8"/>
      <c r="AB6" s="8"/>
      <c r="AC6" s="8"/>
      <c r="AD6" s="8"/>
      <c r="AE6" s="11"/>
      <c r="AF6" s="11"/>
      <c r="AG6" s="11"/>
    </row>
    <row r="7" ht="22.5" customHeight="1">
      <c r="A7" s="8" t="s">
        <v>39</v>
      </c>
      <c r="B7" s="9">
        <v>22.0</v>
      </c>
      <c r="C7" s="10">
        <v>4.0</v>
      </c>
      <c r="D7" s="8">
        <v>9.0</v>
      </c>
      <c r="E7" s="8">
        <v>11.0</v>
      </c>
      <c r="F7" s="8">
        <v>16.0</v>
      </c>
      <c r="G7" s="8">
        <v>19.0</v>
      </c>
      <c r="H7" s="8">
        <v>8.0</v>
      </c>
      <c r="I7" s="8">
        <v>8.0</v>
      </c>
      <c r="J7" s="8">
        <v>17.0</v>
      </c>
      <c r="K7" s="8">
        <v>11.0</v>
      </c>
      <c r="L7" s="8">
        <v>19.0</v>
      </c>
      <c r="M7" s="8">
        <v>10.0</v>
      </c>
      <c r="N7" s="8">
        <v>10.0</v>
      </c>
      <c r="O7" s="8">
        <v>12.0</v>
      </c>
      <c r="P7" s="8">
        <v>7.0</v>
      </c>
      <c r="Q7" s="8">
        <v>17.0</v>
      </c>
      <c r="R7" s="8">
        <v>12.0</v>
      </c>
      <c r="S7" s="8">
        <v>8.0</v>
      </c>
      <c r="T7" s="8">
        <v>12.0</v>
      </c>
      <c r="U7" s="8">
        <v>30.0</v>
      </c>
      <c r="V7" s="8">
        <v>20.0</v>
      </c>
      <c r="W7" s="8">
        <v>10.0</v>
      </c>
      <c r="X7" s="8"/>
      <c r="Y7" s="8"/>
      <c r="Z7" s="8"/>
      <c r="AA7" s="8"/>
      <c r="AB7" s="8"/>
      <c r="AC7" s="8"/>
      <c r="AD7" s="8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3.0</v>
      </c>
      <c r="D8" s="8">
        <v>11.0</v>
      </c>
      <c r="E8" s="8">
        <v>7.0</v>
      </c>
      <c r="F8" s="8">
        <v>20.0</v>
      </c>
      <c r="G8" s="8">
        <v>13.0</v>
      </c>
      <c r="H8" s="8">
        <v>9.0</v>
      </c>
      <c r="I8" s="8">
        <v>10.0</v>
      </c>
      <c r="J8" s="8">
        <v>22.0</v>
      </c>
      <c r="K8" s="8">
        <v>10.0</v>
      </c>
      <c r="L8" s="8">
        <v>17.0</v>
      </c>
      <c r="M8" s="8">
        <v>9.0</v>
      </c>
      <c r="N8" s="8">
        <v>14.0</v>
      </c>
      <c r="O8" s="8">
        <v>17.0</v>
      </c>
      <c r="P8" s="8">
        <v>8.0</v>
      </c>
      <c r="Q8" s="8">
        <v>18.0</v>
      </c>
      <c r="R8" s="8">
        <v>7.0</v>
      </c>
      <c r="S8" s="8">
        <v>8.0</v>
      </c>
      <c r="T8" s="8">
        <v>7.0</v>
      </c>
      <c r="U8" s="8">
        <v>31.0</v>
      </c>
      <c r="V8" s="8">
        <v>14.0</v>
      </c>
      <c r="W8" s="8">
        <v>9.0</v>
      </c>
      <c r="X8" s="8"/>
      <c r="Y8" s="8"/>
      <c r="Z8" s="8"/>
      <c r="AA8" s="8"/>
      <c r="AB8" s="8"/>
      <c r="AC8" s="8"/>
      <c r="AD8" s="8"/>
      <c r="AE8" s="11"/>
      <c r="AF8" s="11"/>
      <c r="AG8" s="11"/>
    </row>
    <row r="9" ht="22.5" customHeight="1">
      <c r="A9" s="8" t="s">
        <v>41</v>
      </c>
      <c r="B9" s="9">
        <v>19.0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>
        <v>7.0</v>
      </c>
      <c r="D10" s="8">
        <v>6.0</v>
      </c>
      <c r="E10" s="8">
        <v>6.0</v>
      </c>
      <c r="F10" s="8">
        <v>10.0</v>
      </c>
      <c r="G10" s="8">
        <v>9.0</v>
      </c>
      <c r="H10" s="8">
        <v>5.0</v>
      </c>
      <c r="I10" s="8">
        <v>5.0</v>
      </c>
      <c r="J10" s="8">
        <v>12.0</v>
      </c>
      <c r="K10" s="8">
        <v>6.0</v>
      </c>
      <c r="L10" s="8">
        <v>14.0</v>
      </c>
      <c r="M10" s="8">
        <v>6.0</v>
      </c>
      <c r="N10" s="8">
        <v>8.0</v>
      </c>
      <c r="O10" s="8">
        <v>8.0</v>
      </c>
      <c r="P10" s="8">
        <v>6.0</v>
      </c>
      <c r="Q10" s="8">
        <v>11.0</v>
      </c>
      <c r="R10" s="8">
        <v>5.0</v>
      </c>
      <c r="S10" s="8">
        <v>5.0</v>
      </c>
      <c r="T10" s="8">
        <v>6.0</v>
      </c>
      <c r="U10" s="8">
        <v>19.0</v>
      </c>
      <c r="V10" s="8">
        <v>11.0</v>
      </c>
      <c r="W10" s="8">
        <v>5.0</v>
      </c>
      <c r="X10" s="8"/>
      <c r="Y10" s="8"/>
      <c r="Z10" s="8"/>
      <c r="AA10" s="8"/>
      <c r="AB10" s="8"/>
      <c r="AC10" s="8"/>
      <c r="AD10" s="8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0">
        <v>8.0</v>
      </c>
      <c r="D15" s="8"/>
      <c r="E15" s="15"/>
      <c r="F15" s="8">
        <v>2.0</v>
      </c>
      <c r="G15" s="11"/>
      <c r="H15" s="8">
        <v>1.0</v>
      </c>
      <c r="I15" s="11"/>
      <c r="J15" s="8"/>
      <c r="K15" s="8"/>
      <c r="L15" s="8"/>
      <c r="M15" s="8">
        <v>1.0</v>
      </c>
      <c r="N15" s="8"/>
      <c r="O15" s="8"/>
      <c r="P15" s="8"/>
      <c r="Q15" s="8"/>
      <c r="R15" s="11"/>
      <c r="S15" s="8"/>
      <c r="T15" s="8"/>
      <c r="U15" s="11"/>
      <c r="V15" s="11"/>
      <c r="W15" s="11"/>
      <c r="X15" s="8"/>
      <c r="Y15" s="8"/>
      <c r="Z15" s="8"/>
      <c r="AA15" s="11"/>
      <c r="AB15" s="8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0">
        <v>2.0</v>
      </c>
      <c r="D16" s="8"/>
      <c r="E16" s="15"/>
      <c r="F16" s="8"/>
      <c r="G16" s="11"/>
      <c r="H16" s="11"/>
      <c r="I16" s="11"/>
      <c r="J16" s="11"/>
      <c r="K16" s="11"/>
      <c r="L16" s="8"/>
      <c r="M16" s="11"/>
      <c r="N16" s="11"/>
      <c r="O16" s="8"/>
      <c r="P16" s="11"/>
      <c r="Q16" s="11"/>
      <c r="R16" s="11"/>
      <c r="S16" s="8"/>
      <c r="T16" s="8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60.0</v>
      </c>
      <c r="C17" s="14"/>
      <c r="D17" s="8"/>
      <c r="E17" s="15"/>
      <c r="F17" s="15"/>
      <c r="G17" s="11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>
        <v>2.0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DUYGU ARGUÇ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1.7561155056E10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189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4536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190</v>
      </c>
      <c r="J31" s="28">
        <f>IFERROR(__xludf.DUMMYFUNCTION("""COMPUTED_VALUE"""),27.0)</f>
        <v>27</v>
      </c>
      <c r="L31" s="28">
        <f t="shared" si="2"/>
        <v>5130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643</v>
      </c>
      <c r="J32" s="28">
        <f>IFERROR(__xludf.DUMMYFUNCTION("""COMPUTED_VALUE"""),19.0)</f>
        <v>19</v>
      </c>
      <c r="L32" s="28">
        <f t="shared" si="2"/>
        <v>12217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270</v>
      </c>
      <c r="J33" s="28">
        <f>IFERROR(__xludf.DUMMYFUNCTION("""COMPUTED_VALUE"""),22.0)</f>
        <v>22</v>
      </c>
      <c r="L33" s="28">
        <f t="shared" si="2"/>
        <v>5940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264</v>
      </c>
      <c r="J34" s="28">
        <f>IFERROR(__xludf.DUMMYFUNCTION("""COMPUTED_VALUE"""),19.0)</f>
        <v>19</v>
      </c>
      <c r="L34" s="28">
        <f t="shared" si="2"/>
        <v>5016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170</v>
      </c>
      <c r="J35" s="28">
        <f>IFERROR(__xludf.DUMMYFUNCTION("""COMPUTED_VALUE"""),19.0)</f>
        <v>19</v>
      </c>
      <c r="L35" s="28">
        <f t="shared" si="2"/>
        <v>3230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IFERROR(__xludf.DUMMYFUNCTION("""COMPUTED_VALUE"""),"Alez")</f>
        <v>Alez</v>
      </c>
      <c r="H36" s="1">
        <f t="shared" si="1"/>
        <v>12</v>
      </c>
      <c r="J36" s="28">
        <f>IFERROR(__xludf.DUMMYFUNCTION("""COMPUTED_VALUE"""),40.0)</f>
        <v>40</v>
      </c>
      <c r="L36" s="28">
        <f t="shared" si="2"/>
        <v>480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IFERROR(__xludf.DUMMYFUNCTION("""COMPUTED_VALUE"""),"Yorgan")</f>
        <v>Yorgan</v>
      </c>
      <c r="H37" s="1">
        <f t="shared" si="1"/>
        <v>2</v>
      </c>
      <c r="J37" s="28">
        <f>IFERROR(__xludf.DUMMYFUNCTION("""COMPUTED_VALUE"""),150.0)</f>
        <v>150</v>
      </c>
      <c r="L37" s="28">
        <f t="shared" si="2"/>
        <v>300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 t="str">
        <f>IFERROR(__xludf.DUMMYFUNCTION("""COMPUTED_VALUE"""),"Yastık")</f>
        <v>Yastık</v>
      </c>
      <c r="H38" s="1">
        <f t="shared" si="1"/>
        <v>2</v>
      </c>
      <c r="J38" s="28">
        <f>IFERROR(__xludf.DUMMYFUNCTION("""COMPUTED_VALUE"""),60.0)</f>
        <v>60</v>
      </c>
      <c r="L38" s="28">
        <f t="shared" si="2"/>
        <v>120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36969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78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25.0</v>
      </c>
      <c r="C4" s="10">
        <v>22.0</v>
      </c>
      <c r="D4" s="8">
        <v>21.0</v>
      </c>
      <c r="E4" s="8">
        <v>11.0</v>
      </c>
      <c r="F4" s="8">
        <v>17.0</v>
      </c>
      <c r="G4" s="8">
        <v>15.0</v>
      </c>
      <c r="H4" s="8">
        <v>16.0</v>
      </c>
      <c r="I4" s="8">
        <v>14.0</v>
      </c>
      <c r="J4" s="8">
        <v>12.0</v>
      </c>
      <c r="K4" s="8">
        <v>13.0</v>
      </c>
      <c r="L4" s="8"/>
      <c r="M4" s="8"/>
      <c r="N4" s="8"/>
      <c r="O4" s="8"/>
      <c r="P4" s="8"/>
      <c r="Q4" s="8"/>
      <c r="R4" s="8"/>
      <c r="S4" s="8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30.0</v>
      </c>
      <c r="C5" s="10">
        <v>9.0</v>
      </c>
      <c r="D5" s="8">
        <v>11.0</v>
      </c>
      <c r="E5" s="8">
        <v>7.0</v>
      </c>
      <c r="F5" s="8">
        <v>5.0</v>
      </c>
      <c r="G5" s="8">
        <v>3.0</v>
      </c>
      <c r="H5" s="8">
        <v>7.0</v>
      </c>
      <c r="I5" s="8">
        <v>6.0</v>
      </c>
      <c r="J5" s="8">
        <v>5.0</v>
      </c>
      <c r="K5" s="8">
        <v>5.0</v>
      </c>
      <c r="L5" s="8"/>
      <c r="M5" s="8"/>
      <c r="N5" s="8"/>
      <c r="O5" s="8"/>
      <c r="P5" s="8"/>
      <c r="Q5" s="8"/>
      <c r="R5" s="8"/>
      <c r="S5" s="8"/>
      <c r="T5" s="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13.0</v>
      </c>
      <c r="C6" s="10">
        <v>22.0</v>
      </c>
      <c r="D6" s="8">
        <v>23.0</v>
      </c>
      <c r="E6" s="8">
        <v>10.0</v>
      </c>
      <c r="F6" s="8">
        <v>17.0</v>
      </c>
      <c r="G6" s="8">
        <v>11.0</v>
      </c>
      <c r="H6" s="8">
        <v>19.0</v>
      </c>
      <c r="I6" s="8">
        <v>14.0</v>
      </c>
      <c r="J6" s="8">
        <v>13.0</v>
      </c>
      <c r="K6" s="8">
        <v>12.0</v>
      </c>
      <c r="L6" s="8"/>
      <c r="M6" s="8"/>
      <c r="N6" s="8"/>
      <c r="O6" s="8"/>
      <c r="P6" s="8"/>
      <c r="Q6" s="8"/>
      <c r="R6" s="8"/>
      <c r="S6" s="8"/>
      <c r="T6" s="8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20.0</v>
      </c>
      <c r="C7" s="10">
        <v>12.0</v>
      </c>
      <c r="D7" s="8">
        <v>20.0</v>
      </c>
      <c r="E7" s="8">
        <v>7.0</v>
      </c>
      <c r="F7" s="8">
        <v>11.0</v>
      </c>
      <c r="G7" s="8">
        <v>11.0</v>
      </c>
      <c r="H7" s="8">
        <v>16.0</v>
      </c>
      <c r="I7" s="8">
        <v>12.0</v>
      </c>
      <c r="J7" s="8">
        <v>10.0</v>
      </c>
      <c r="K7" s="8">
        <v>17.0</v>
      </c>
      <c r="L7" s="8"/>
      <c r="M7" s="8"/>
      <c r="N7" s="8"/>
      <c r="O7" s="8"/>
      <c r="P7" s="8"/>
      <c r="Q7" s="8"/>
      <c r="R7" s="8"/>
      <c r="S7" s="8"/>
      <c r="T7" s="8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12.0</v>
      </c>
      <c r="C8" s="10">
        <v>17.0</v>
      </c>
      <c r="D8" s="8">
        <v>10.0</v>
      </c>
      <c r="E8" s="8">
        <v>8.0</v>
      </c>
      <c r="F8" s="8">
        <v>12.0</v>
      </c>
      <c r="G8" s="8">
        <v>9.0</v>
      </c>
      <c r="H8" s="8">
        <v>9.0</v>
      </c>
      <c r="I8" s="8">
        <v>10.0</v>
      </c>
      <c r="J8" s="8">
        <v>12.0</v>
      </c>
      <c r="K8" s="8">
        <v>6.0</v>
      </c>
      <c r="L8" s="8"/>
      <c r="M8" s="8"/>
      <c r="N8" s="8"/>
      <c r="O8" s="8"/>
      <c r="P8" s="8"/>
      <c r="Q8" s="8"/>
      <c r="R8" s="8"/>
      <c r="S8" s="8"/>
      <c r="T8" s="8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12.0</v>
      </c>
      <c r="C9" s="10"/>
      <c r="D9" s="15"/>
      <c r="E9" s="15"/>
      <c r="F9" s="15"/>
      <c r="G9" s="8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12.0</v>
      </c>
      <c r="C10" s="10">
        <v>9.0</v>
      </c>
      <c r="D10" s="8">
        <v>4.0</v>
      </c>
      <c r="E10" s="8">
        <v>3.0</v>
      </c>
      <c r="F10" s="8">
        <v>6.0</v>
      </c>
      <c r="G10" s="8">
        <v>6.0</v>
      </c>
      <c r="H10" s="8">
        <v>5.0</v>
      </c>
      <c r="I10" s="8">
        <v>8.0</v>
      </c>
      <c r="J10" s="8">
        <v>7.0</v>
      </c>
      <c r="K10" s="8">
        <v>6.0</v>
      </c>
      <c r="L10" s="8"/>
      <c r="M10" s="8"/>
      <c r="N10" s="8"/>
      <c r="O10" s="8"/>
      <c r="P10" s="8"/>
      <c r="Q10" s="8"/>
      <c r="R10" s="8"/>
      <c r="S10" s="8"/>
      <c r="T10" s="8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8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0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50.0</v>
      </c>
      <c r="C15" s="10"/>
      <c r="D15" s="8">
        <v>1.0</v>
      </c>
      <c r="E15" s="8"/>
      <c r="F15" s="8"/>
      <c r="G15" s="8">
        <v>333.0</v>
      </c>
      <c r="H15" s="8"/>
      <c r="I15" s="8"/>
      <c r="J15" s="8"/>
      <c r="K15" s="11"/>
      <c r="L15" s="8"/>
      <c r="M15" s="11"/>
      <c r="N15" s="8"/>
      <c r="O15" s="8"/>
      <c r="P15" s="11"/>
      <c r="Q15" s="8"/>
      <c r="R15" s="11"/>
      <c r="S15" s="8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120.0</v>
      </c>
      <c r="C16" s="14"/>
      <c r="D16" s="8"/>
      <c r="E16" s="15"/>
      <c r="F16" s="8"/>
      <c r="G16" s="8"/>
      <c r="H16" s="8"/>
      <c r="I16" s="8"/>
      <c r="J16" s="11"/>
      <c r="K16" s="8"/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KONYA BOZKIR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5.770492819E9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141</v>
      </c>
      <c r="J30" s="28">
        <f>IFERROR(__xludf.DUMMYFUNCTION("FILTER(
  B4:B22, 
  MMULT(
    ARRAYFORMULA(
      N(C4:AG22&lt;&gt;"""") * (COLUMN(C4:AG22)&gt;=($B$25+2)) * (COLUMN(C4:AG22)&lt;=($B$26+2))
    ),
    TRANSPOSE(COLUMN(C4:AG22)^0)
  )
)"),25.0)</f>
        <v>25</v>
      </c>
      <c r="L30" s="28">
        <f t="shared" ref="L30:L41" si="2">H30*J30</f>
        <v>3525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58</v>
      </c>
      <c r="J31" s="28">
        <f>IFERROR(__xludf.DUMMYFUNCTION("""COMPUTED_VALUE"""),30.0)</f>
        <v>30</v>
      </c>
      <c r="L31" s="28">
        <f t="shared" si="2"/>
        <v>1740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141</v>
      </c>
      <c r="J32" s="28">
        <f>IFERROR(__xludf.DUMMYFUNCTION("""COMPUTED_VALUE"""),13.0)</f>
        <v>13</v>
      </c>
      <c r="L32" s="28">
        <f t="shared" si="2"/>
        <v>1833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116</v>
      </c>
      <c r="J33" s="28">
        <f>IFERROR(__xludf.DUMMYFUNCTION("""COMPUTED_VALUE"""),20.0)</f>
        <v>20</v>
      </c>
      <c r="L33" s="28">
        <f t="shared" si="2"/>
        <v>2320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93</v>
      </c>
      <c r="J34" s="28">
        <f>IFERROR(__xludf.DUMMYFUNCTION("""COMPUTED_VALUE"""),12.0)</f>
        <v>12</v>
      </c>
      <c r="L34" s="28">
        <f t="shared" si="2"/>
        <v>1116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54</v>
      </c>
      <c r="J35" s="28">
        <f>IFERROR(__xludf.DUMMYFUNCTION("""COMPUTED_VALUE"""),12.0)</f>
        <v>12</v>
      </c>
      <c r="L35" s="28">
        <f t="shared" si="2"/>
        <v>648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IFERROR(__xludf.DUMMYFUNCTION("""COMPUTED_VALUE"""),"Alez")</f>
        <v>Alez</v>
      </c>
      <c r="H36" s="1">
        <f t="shared" si="1"/>
        <v>334</v>
      </c>
      <c r="J36" s="28">
        <f>IFERROR(__xludf.DUMMYFUNCTION("""COMPUTED_VALUE"""),50.0)</f>
        <v>50</v>
      </c>
      <c r="L36" s="28">
        <f t="shared" si="2"/>
        <v>16700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27882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79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24.7</v>
      </c>
      <c r="C4" s="10">
        <v>16.0</v>
      </c>
      <c r="D4" s="8">
        <v>30.0</v>
      </c>
      <c r="E4" s="8">
        <v>26.0</v>
      </c>
      <c r="F4" s="8">
        <v>24.0</v>
      </c>
      <c r="G4" s="8">
        <v>15.0</v>
      </c>
      <c r="H4" s="8">
        <v>26.0</v>
      </c>
      <c r="I4" s="8">
        <v>19.0</v>
      </c>
      <c r="J4" s="8">
        <v>19.0</v>
      </c>
      <c r="K4" s="8">
        <v>21.0</v>
      </c>
      <c r="L4" s="8">
        <v>14.0</v>
      </c>
      <c r="M4" s="8">
        <v>23.0</v>
      </c>
      <c r="N4" s="8">
        <v>23.0</v>
      </c>
      <c r="O4" s="8">
        <v>36.0</v>
      </c>
      <c r="P4" s="8">
        <v>31.0</v>
      </c>
      <c r="Q4" s="8">
        <v>22.0</v>
      </c>
      <c r="R4" s="8">
        <v>17.0</v>
      </c>
      <c r="S4" s="8">
        <v>23.0</v>
      </c>
      <c r="T4" s="8">
        <v>25.0</v>
      </c>
      <c r="U4" s="8">
        <v>31.0</v>
      </c>
      <c r="V4" s="8">
        <v>32.0</v>
      </c>
      <c r="W4" s="8">
        <v>23.0</v>
      </c>
      <c r="X4" s="8">
        <v>18.0</v>
      </c>
      <c r="Y4" s="8">
        <v>34.0</v>
      </c>
      <c r="Z4" s="8">
        <v>15.0</v>
      </c>
      <c r="AA4" s="8">
        <v>23.0</v>
      </c>
      <c r="AB4" s="8">
        <v>17.0</v>
      </c>
      <c r="AC4" s="8">
        <v>30.0</v>
      </c>
      <c r="AD4" s="8">
        <v>23.0</v>
      </c>
      <c r="AE4" s="8">
        <v>26.0</v>
      </c>
      <c r="AF4" s="8">
        <v>9.0</v>
      </c>
      <c r="AG4" s="8"/>
    </row>
    <row r="5" ht="22.5" customHeight="1">
      <c r="A5" s="8" t="s">
        <v>37</v>
      </c>
      <c r="B5" s="9">
        <v>32.11</v>
      </c>
      <c r="C5" s="10">
        <v>21.0</v>
      </c>
      <c r="D5" s="8">
        <v>30.0</v>
      </c>
      <c r="E5" s="8">
        <v>25.0</v>
      </c>
      <c r="F5" s="8">
        <v>24.0</v>
      </c>
      <c r="G5" s="8">
        <v>20.0</v>
      </c>
      <c r="H5" s="8">
        <v>27.0</v>
      </c>
      <c r="I5" s="8">
        <v>22.0</v>
      </c>
      <c r="J5" s="8">
        <v>22.0</v>
      </c>
      <c r="K5" s="8">
        <v>30.0</v>
      </c>
      <c r="L5" s="8">
        <v>16.0</v>
      </c>
      <c r="M5" s="8">
        <v>29.0</v>
      </c>
      <c r="N5" s="8">
        <v>27.0</v>
      </c>
      <c r="O5" s="8">
        <v>34.0</v>
      </c>
      <c r="P5" s="8">
        <v>31.0</v>
      </c>
      <c r="Q5" s="8">
        <v>20.0</v>
      </c>
      <c r="R5" s="8">
        <v>22.0</v>
      </c>
      <c r="S5" s="8">
        <v>20.0</v>
      </c>
      <c r="T5" s="8">
        <v>28.0</v>
      </c>
      <c r="U5" s="8">
        <v>35.0</v>
      </c>
      <c r="V5" s="8">
        <v>35.0</v>
      </c>
      <c r="W5" s="8">
        <v>24.0</v>
      </c>
      <c r="X5" s="8">
        <v>16.0</v>
      </c>
      <c r="Y5" s="8">
        <v>38.0</v>
      </c>
      <c r="Z5" s="8">
        <v>18.0</v>
      </c>
      <c r="AA5" s="8">
        <v>27.0</v>
      </c>
      <c r="AB5" s="8">
        <v>18.0</v>
      </c>
      <c r="AC5" s="8">
        <v>42.0</v>
      </c>
      <c r="AD5" s="8">
        <v>30.0</v>
      </c>
      <c r="AE5" s="8">
        <v>28.0</v>
      </c>
      <c r="AF5" s="8">
        <v>8.0</v>
      </c>
      <c r="AG5" s="8"/>
    </row>
    <row r="6" ht="22.5" customHeight="1">
      <c r="A6" s="8" t="s">
        <v>38</v>
      </c>
      <c r="B6" s="9">
        <v>13.0</v>
      </c>
      <c r="C6" s="10">
        <v>33.0</v>
      </c>
      <c r="D6" s="8">
        <v>31.0</v>
      </c>
      <c r="E6" s="8">
        <v>29.0</v>
      </c>
      <c r="F6" s="8">
        <v>36.0</v>
      </c>
      <c r="G6" s="8">
        <v>33.0</v>
      </c>
      <c r="H6" s="8">
        <v>33.0</v>
      </c>
      <c r="I6" s="8">
        <v>27.0</v>
      </c>
      <c r="J6" s="8">
        <v>33.0</v>
      </c>
      <c r="K6" s="8">
        <v>35.0</v>
      </c>
      <c r="L6" s="8">
        <v>16.0</v>
      </c>
      <c r="M6" s="8">
        <v>33.0</v>
      </c>
      <c r="N6" s="8">
        <v>27.0</v>
      </c>
      <c r="O6" s="8">
        <v>51.0</v>
      </c>
      <c r="P6" s="8">
        <v>48.0</v>
      </c>
      <c r="Q6" s="8">
        <v>31.0</v>
      </c>
      <c r="R6" s="8">
        <v>33.0</v>
      </c>
      <c r="S6" s="8">
        <v>28.0</v>
      </c>
      <c r="T6" s="8">
        <v>42.0</v>
      </c>
      <c r="U6" s="8">
        <v>55.0</v>
      </c>
      <c r="V6" s="8">
        <v>46.0</v>
      </c>
      <c r="W6" s="8">
        <v>31.0</v>
      </c>
      <c r="X6" s="8">
        <v>27.0</v>
      </c>
      <c r="Y6" s="8">
        <v>56.0</v>
      </c>
      <c r="Z6" s="8">
        <v>28.0</v>
      </c>
      <c r="AA6" s="8">
        <v>45.0</v>
      </c>
      <c r="AB6" s="8">
        <v>24.0</v>
      </c>
      <c r="AC6" s="8">
        <v>51.0</v>
      </c>
      <c r="AD6" s="8">
        <v>41.0</v>
      </c>
      <c r="AE6" s="8">
        <v>36.0</v>
      </c>
      <c r="AF6" s="8">
        <v>14.0</v>
      </c>
    </row>
    <row r="7" ht="22.5" customHeight="1">
      <c r="A7" s="8" t="s">
        <v>39</v>
      </c>
      <c r="B7" s="9">
        <v>18.2</v>
      </c>
      <c r="C7" s="10">
        <v>46.0</v>
      </c>
      <c r="D7" s="8">
        <v>48.0</v>
      </c>
      <c r="E7" s="8">
        <v>41.0</v>
      </c>
      <c r="F7" s="8">
        <v>50.0</v>
      </c>
      <c r="G7" s="8">
        <v>31.0</v>
      </c>
      <c r="H7" s="8">
        <v>51.0</v>
      </c>
      <c r="I7" s="8">
        <v>34.0</v>
      </c>
      <c r="J7" s="8">
        <v>35.0</v>
      </c>
      <c r="K7" s="8">
        <v>40.0</v>
      </c>
      <c r="L7" s="8">
        <v>30.0</v>
      </c>
      <c r="M7" s="8">
        <v>34.0</v>
      </c>
      <c r="N7" s="8">
        <v>36.0</v>
      </c>
      <c r="O7" s="8">
        <v>46.0</v>
      </c>
      <c r="P7" s="8">
        <v>48.0</v>
      </c>
      <c r="Q7" s="8">
        <v>25.0</v>
      </c>
      <c r="R7" s="8">
        <v>39.0</v>
      </c>
      <c r="S7" s="8">
        <v>39.0</v>
      </c>
      <c r="T7" s="8">
        <v>41.0</v>
      </c>
      <c r="U7" s="8">
        <v>43.0</v>
      </c>
      <c r="V7" s="8">
        <v>58.0</v>
      </c>
      <c r="W7" s="8">
        <v>39.0</v>
      </c>
      <c r="X7" s="8">
        <v>29.0</v>
      </c>
      <c r="Y7" s="8">
        <v>48.0</v>
      </c>
      <c r="Z7" s="8">
        <v>27.0</v>
      </c>
      <c r="AA7" s="8">
        <v>45.0</v>
      </c>
      <c r="AB7" s="8">
        <v>27.0</v>
      </c>
      <c r="AC7" s="8">
        <v>56.0</v>
      </c>
      <c r="AD7" s="8">
        <v>43.0</v>
      </c>
      <c r="AE7" s="8">
        <v>29.0</v>
      </c>
      <c r="AF7" s="8">
        <v>26.0</v>
      </c>
    </row>
    <row r="8" ht="22.5" customHeight="1">
      <c r="A8" s="8" t="s">
        <v>40</v>
      </c>
      <c r="B8" s="9">
        <v>14.17</v>
      </c>
      <c r="C8" s="10">
        <v>32.0</v>
      </c>
      <c r="D8" s="8">
        <v>39.0</v>
      </c>
      <c r="E8" s="8">
        <v>32.0</v>
      </c>
      <c r="F8" s="8">
        <v>40.0</v>
      </c>
      <c r="G8" s="8">
        <v>40.0</v>
      </c>
      <c r="H8" s="8">
        <v>29.0</v>
      </c>
      <c r="I8" s="8">
        <v>36.0</v>
      </c>
      <c r="J8" s="8">
        <v>31.0</v>
      </c>
      <c r="K8" s="8">
        <v>39.0</v>
      </c>
      <c r="L8" s="8">
        <v>24.0</v>
      </c>
      <c r="M8" s="8">
        <v>28.0</v>
      </c>
      <c r="N8" s="8">
        <v>30.0</v>
      </c>
      <c r="O8" s="8">
        <v>40.0</v>
      </c>
      <c r="P8" s="8">
        <v>35.0</v>
      </c>
      <c r="Q8" s="8">
        <v>21.0</v>
      </c>
      <c r="R8" s="8">
        <v>27.0</v>
      </c>
      <c r="S8" s="8">
        <v>38.0</v>
      </c>
      <c r="T8" s="8">
        <v>43.0</v>
      </c>
      <c r="U8" s="8">
        <v>41.0</v>
      </c>
      <c r="V8" s="8">
        <v>44.0</v>
      </c>
      <c r="W8" s="8">
        <v>29.0</v>
      </c>
      <c r="X8" s="8">
        <v>26.0</v>
      </c>
      <c r="Y8" s="8">
        <v>49.0</v>
      </c>
      <c r="Z8" s="8">
        <v>23.0</v>
      </c>
      <c r="AA8" s="8">
        <v>48.0</v>
      </c>
      <c r="AB8" s="8">
        <v>28.0</v>
      </c>
      <c r="AC8" s="8">
        <v>51.0</v>
      </c>
      <c r="AD8" s="8">
        <v>46.0</v>
      </c>
      <c r="AE8" s="8">
        <v>28.0</v>
      </c>
      <c r="AF8" s="8">
        <v>14.0</v>
      </c>
    </row>
    <row r="9" ht="22.5" customHeight="1">
      <c r="A9" s="8"/>
      <c r="B9" s="9"/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8"/>
    </row>
    <row r="10" ht="22.5" customHeight="1">
      <c r="A10" s="8" t="s">
        <v>42</v>
      </c>
      <c r="B10" s="9">
        <v>14.17</v>
      </c>
      <c r="C10" s="10">
        <v>25.0</v>
      </c>
      <c r="D10" s="8">
        <v>21.0</v>
      </c>
      <c r="E10" s="8">
        <v>17.0</v>
      </c>
      <c r="F10" s="8">
        <v>21.0</v>
      </c>
      <c r="G10" s="8">
        <v>17.0</v>
      </c>
      <c r="H10" s="8">
        <v>26.0</v>
      </c>
      <c r="I10" s="8">
        <v>26.0</v>
      </c>
      <c r="J10" s="8">
        <v>25.0</v>
      </c>
      <c r="K10" s="8">
        <v>22.0</v>
      </c>
      <c r="L10" s="8">
        <v>16.0</v>
      </c>
      <c r="M10" s="8">
        <v>23.0</v>
      </c>
      <c r="N10" s="8">
        <v>25.0</v>
      </c>
      <c r="O10" s="8">
        <v>25.0</v>
      </c>
      <c r="P10" s="8">
        <v>22.0</v>
      </c>
      <c r="Q10" s="8">
        <v>15.0</v>
      </c>
      <c r="R10" s="8">
        <v>23.0</v>
      </c>
      <c r="S10" s="8">
        <v>20.0</v>
      </c>
      <c r="T10" s="8">
        <v>23.0</v>
      </c>
      <c r="U10" s="8">
        <v>23.0</v>
      </c>
      <c r="V10" s="8">
        <v>25.0</v>
      </c>
      <c r="W10" s="8">
        <v>20.0</v>
      </c>
      <c r="X10" s="8">
        <v>17.0</v>
      </c>
      <c r="Y10" s="8">
        <v>32.0</v>
      </c>
      <c r="Z10" s="8">
        <v>16.0</v>
      </c>
      <c r="AA10" s="8">
        <v>25.0</v>
      </c>
      <c r="AB10" s="8">
        <v>11.0</v>
      </c>
      <c r="AC10" s="8">
        <v>32.0</v>
      </c>
      <c r="AD10" s="8">
        <v>28.0</v>
      </c>
      <c r="AE10" s="8">
        <v>18.0</v>
      </c>
      <c r="AF10" s="8">
        <v>12.0</v>
      </c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0"/>
      <c r="D16" s="8"/>
      <c r="E16" s="15"/>
      <c r="F16" s="8"/>
      <c r="G16" s="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8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16.0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16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MARİ GRUP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6.120714612E9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346</v>
      </c>
      <c r="J30" s="28">
        <f>IFERROR(__xludf.DUMMYFUNCTION("FILTER(
  B4:B22, 
  MMULT(
    ARRAYFORMULA(
      N(C4:AG22&lt;&gt;"""") * (COLUMN(C4:AG22)&gt;=($B$25+2)) * (COLUMN(C4:AG22)&lt;=($B$26+2))
    ),
    TRANSPOSE(COLUMN(C4:AG22)^0)
  )
)"),24.7)</f>
        <v>24.7</v>
      </c>
      <c r="L30" s="28">
        <f t="shared" ref="L30:L41" si="2">H30*J30</f>
        <v>8546.2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389</v>
      </c>
      <c r="J31" s="28">
        <f>IFERROR(__xludf.DUMMYFUNCTION("""COMPUTED_VALUE"""),32.11)</f>
        <v>32.11</v>
      </c>
      <c r="L31" s="28">
        <f t="shared" si="2"/>
        <v>12490.79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557</v>
      </c>
      <c r="J32" s="28">
        <f>IFERROR(__xludf.DUMMYFUNCTION("""COMPUTED_VALUE"""),13.0)</f>
        <v>13</v>
      </c>
      <c r="L32" s="28">
        <f t="shared" si="2"/>
        <v>7241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589</v>
      </c>
      <c r="J33" s="28">
        <f>IFERROR(__xludf.DUMMYFUNCTION("""COMPUTED_VALUE"""),18.2)</f>
        <v>18.2</v>
      </c>
      <c r="L33" s="28">
        <f t="shared" si="2"/>
        <v>10719.8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535</v>
      </c>
      <c r="J34" s="28">
        <f>IFERROR(__xludf.DUMMYFUNCTION("""COMPUTED_VALUE"""),14.17)</f>
        <v>14.17</v>
      </c>
      <c r="L34" s="28">
        <f t="shared" si="2"/>
        <v>7580.95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325</v>
      </c>
      <c r="J35" s="28">
        <f>IFERROR(__xludf.DUMMYFUNCTION("""COMPUTED_VALUE"""),14.17)</f>
        <v>14.17</v>
      </c>
      <c r="L35" s="28">
        <f t="shared" si="2"/>
        <v>4605.25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51183.99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/>
      <c r="B1" s="1" t="s">
        <v>80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15.0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22.0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9.0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19.0</v>
      </c>
      <c r="C7" s="14"/>
      <c r="D7" s="15"/>
      <c r="E7" s="8"/>
      <c r="F7" s="8"/>
      <c r="G7" s="11"/>
      <c r="H7" s="8"/>
      <c r="I7" s="11"/>
      <c r="J7" s="11"/>
      <c r="K7" s="8"/>
      <c r="L7" s="11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13.0</v>
      </c>
      <c r="C8" s="14"/>
      <c r="D8" s="15"/>
      <c r="E8" s="15"/>
      <c r="F8" s="8"/>
      <c r="G8" s="8"/>
      <c r="H8" s="11"/>
      <c r="I8" s="11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13.0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13.0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NSB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6.32149534E9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81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10.0</v>
      </c>
      <c r="D4" s="8">
        <v>7.0</v>
      </c>
      <c r="E4" s="8">
        <v>11.0</v>
      </c>
      <c r="F4" s="8">
        <v>11.0</v>
      </c>
      <c r="G4" s="8">
        <v>13.0</v>
      </c>
      <c r="H4" s="8">
        <v>8.0</v>
      </c>
      <c r="I4" s="8">
        <v>11.0</v>
      </c>
      <c r="J4" s="8">
        <v>11.0</v>
      </c>
      <c r="K4" s="8">
        <v>12.0</v>
      </c>
      <c r="L4" s="8">
        <v>9.0</v>
      </c>
      <c r="M4" s="8">
        <v>10.0</v>
      </c>
      <c r="N4" s="8">
        <v>11.0</v>
      </c>
      <c r="O4" s="8">
        <v>13.0</v>
      </c>
      <c r="P4" s="8">
        <v>9.0</v>
      </c>
      <c r="Q4" s="8">
        <v>12.0</v>
      </c>
      <c r="R4" s="8">
        <v>15.0</v>
      </c>
      <c r="S4" s="8">
        <v>9.0</v>
      </c>
      <c r="T4" s="8">
        <v>12.0</v>
      </c>
      <c r="U4" s="8"/>
      <c r="V4" s="8"/>
      <c r="W4" s="8"/>
      <c r="X4" s="8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9.0</v>
      </c>
      <c r="D5" s="8">
        <v>10.0</v>
      </c>
      <c r="E5" s="8">
        <v>13.0</v>
      </c>
      <c r="F5" s="8">
        <v>13.0</v>
      </c>
      <c r="G5" s="8">
        <v>12.0</v>
      </c>
      <c r="H5" s="8">
        <v>10.0</v>
      </c>
      <c r="I5" s="8">
        <v>14.0</v>
      </c>
      <c r="J5" s="8">
        <v>13.0</v>
      </c>
      <c r="K5" s="8">
        <v>13.0</v>
      </c>
      <c r="L5" s="8">
        <v>12.0</v>
      </c>
      <c r="M5" s="8">
        <v>10.0</v>
      </c>
      <c r="N5" s="8">
        <v>16.0</v>
      </c>
      <c r="O5" s="8">
        <v>12.0</v>
      </c>
      <c r="P5" s="8">
        <v>10.0</v>
      </c>
      <c r="Q5" s="8">
        <v>14.0</v>
      </c>
      <c r="R5" s="8">
        <v>16.0</v>
      </c>
      <c r="S5" s="8">
        <v>10.0</v>
      </c>
      <c r="T5" s="8">
        <v>11.0</v>
      </c>
      <c r="U5" s="8"/>
      <c r="V5" s="8"/>
      <c r="W5" s="8"/>
      <c r="X5" s="8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21.0</v>
      </c>
      <c r="D6" s="8">
        <v>15.0</v>
      </c>
      <c r="E6" s="8">
        <v>16.0</v>
      </c>
      <c r="F6" s="8">
        <v>22.0</v>
      </c>
      <c r="G6" s="8">
        <v>21.0</v>
      </c>
      <c r="H6" s="8">
        <v>20.0</v>
      </c>
      <c r="I6" s="8">
        <v>23.0</v>
      </c>
      <c r="J6" s="8">
        <v>22.0</v>
      </c>
      <c r="K6" s="8">
        <v>18.0</v>
      </c>
      <c r="L6" s="8">
        <v>19.0</v>
      </c>
      <c r="M6" s="8">
        <v>12.0</v>
      </c>
      <c r="N6" s="8">
        <v>26.0</v>
      </c>
      <c r="O6" s="8">
        <v>19.0</v>
      </c>
      <c r="P6" s="8">
        <v>18.0</v>
      </c>
      <c r="Q6" s="8">
        <v>26.0</v>
      </c>
      <c r="R6" s="8">
        <v>22.0</v>
      </c>
      <c r="S6" s="8">
        <v>15.0</v>
      </c>
      <c r="T6" s="8">
        <v>17.0</v>
      </c>
      <c r="U6" s="8"/>
      <c r="V6" s="8"/>
      <c r="W6" s="8"/>
      <c r="X6" s="8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19.0</v>
      </c>
      <c r="C7" s="10">
        <v>15.0</v>
      </c>
      <c r="D7" s="8">
        <v>9.0</v>
      </c>
      <c r="E7" s="8">
        <v>13.0</v>
      </c>
      <c r="F7" s="8">
        <v>7.0</v>
      </c>
      <c r="G7" s="8">
        <v>14.0</v>
      </c>
      <c r="H7" s="8">
        <v>10.0</v>
      </c>
      <c r="I7" s="8">
        <v>18.0</v>
      </c>
      <c r="J7" s="8">
        <v>14.0</v>
      </c>
      <c r="K7" s="8">
        <v>15.0</v>
      </c>
      <c r="L7" s="8">
        <v>8.0</v>
      </c>
      <c r="M7" s="8">
        <v>12.0</v>
      </c>
      <c r="N7" s="8">
        <v>15.0</v>
      </c>
      <c r="O7" s="8">
        <v>10.0</v>
      </c>
      <c r="P7" s="8"/>
      <c r="Q7" s="8">
        <v>18.0</v>
      </c>
      <c r="R7" s="8">
        <v>15.0</v>
      </c>
      <c r="S7" s="8">
        <v>4.0</v>
      </c>
      <c r="T7" s="8">
        <v>16.0</v>
      </c>
      <c r="U7" s="8"/>
      <c r="V7" s="8"/>
      <c r="W7" s="8"/>
      <c r="X7" s="8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12.0</v>
      </c>
      <c r="D8" s="8">
        <v>5.0</v>
      </c>
      <c r="E8" s="8">
        <v>14.0</v>
      </c>
      <c r="F8" s="8">
        <v>5.0</v>
      </c>
      <c r="G8" s="8">
        <v>13.0</v>
      </c>
      <c r="H8" s="8">
        <v>11.0</v>
      </c>
      <c r="I8" s="8">
        <v>12.0</v>
      </c>
      <c r="J8" s="8">
        <v>16.0</v>
      </c>
      <c r="K8" s="8">
        <v>11.0</v>
      </c>
      <c r="L8" s="8">
        <v>6.0</v>
      </c>
      <c r="M8" s="8">
        <v>10.0</v>
      </c>
      <c r="N8" s="8">
        <v>15.0</v>
      </c>
      <c r="O8" s="8">
        <v>11.0</v>
      </c>
      <c r="P8" s="8"/>
      <c r="Q8" s="8">
        <v>14.0</v>
      </c>
      <c r="R8" s="8">
        <v>12.0</v>
      </c>
      <c r="S8" s="8">
        <v>4.0</v>
      </c>
      <c r="T8" s="8">
        <v>15.0</v>
      </c>
      <c r="U8" s="8"/>
      <c r="V8" s="8"/>
      <c r="W8" s="8"/>
      <c r="X8" s="8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19.0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>
        <v>11.0</v>
      </c>
      <c r="D10" s="8">
        <v>10.0</v>
      </c>
      <c r="E10" s="8">
        <v>12.0</v>
      </c>
      <c r="F10" s="8">
        <v>9.0</v>
      </c>
      <c r="G10" s="8">
        <v>13.0</v>
      </c>
      <c r="H10" s="8">
        <v>11.0</v>
      </c>
      <c r="I10" s="8">
        <v>12.0</v>
      </c>
      <c r="J10" s="8">
        <v>16.0</v>
      </c>
      <c r="K10" s="8">
        <v>1.0</v>
      </c>
      <c r="L10" s="8">
        <v>9.0</v>
      </c>
      <c r="M10" s="8">
        <v>6.0</v>
      </c>
      <c r="N10" s="8">
        <v>17.0</v>
      </c>
      <c r="O10" s="8">
        <v>12.0</v>
      </c>
      <c r="P10" s="8"/>
      <c r="Q10" s="8">
        <v>13.0</v>
      </c>
      <c r="R10" s="8">
        <v>11.0</v>
      </c>
      <c r="S10" s="8">
        <v>7.0</v>
      </c>
      <c r="T10" s="8">
        <v>13.0</v>
      </c>
      <c r="U10" s="8"/>
      <c r="V10" s="8"/>
      <c r="W10" s="8"/>
      <c r="X10" s="8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45.0</v>
      </c>
      <c r="C14" s="14"/>
      <c r="D14" s="8"/>
      <c r="E14" s="8">
        <v>1.0</v>
      </c>
      <c r="F14" s="8"/>
      <c r="G14" s="11"/>
      <c r="H14" s="8">
        <v>1.0</v>
      </c>
      <c r="I14" s="11"/>
      <c r="J14" s="8"/>
      <c r="K14" s="8">
        <v>1.0</v>
      </c>
      <c r="L14" s="8"/>
      <c r="M14" s="11"/>
      <c r="N14" s="11"/>
      <c r="O14" s="11"/>
      <c r="P14" s="11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8"/>
      <c r="J17" s="11"/>
      <c r="K17" s="11"/>
      <c r="L17" s="8"/>
      <c r="M17" s="11"/>
      <c r="N17" s="11"/>
      <c r="O17" s="11"/>
      <c r="P17" s="11"/>
      <c r="Q17" s="11"/>
      <c r="R17" s="11"/>
      <c r="S17" s="11"/>
      <c r="T17" s="8"/>
      <c r="U17" s="11"/>
      <c r="V17" s="11"/>
      <c r="W17" s="8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NOKTA ELEKTRİK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6.31021526E9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194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4656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218</v>
      </c>
      <c r="J31" s="28">
        <f>IFERROR(__xludf.DUMMYFUNCTION("""COMPUTED_VALUE"""),27.0)</f>
        <v>27</v>
      </c>
      <c r="L31" s="28">
        <f t="shared" si="2"/>
        <v>5886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352</v>
      </c>
      <c r="J32" s="28">
        <f>IFERROR(__xludf.DUMMYFUNCTION("""COMPUTED_VALUE"""),19.0)</f>
        <v>19</v>
      </c>
      <c r="L32" s="28">
        <f t="shared" si="2"/>
        <v>6688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213</v>
      </c>
      <c r="J33" s="28">
        <f>IFERROR(__xludf.DUMMYFUNCTION("""COMPUTED_VALUE"""),19.0)</f>
        <v>19</v>
      </c>
      <c r="L33" s="28">
        <f t="shared" si="2"/>
        <v>4047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186</v>
      </c>
      <c r="J34" s="28">
        <f>IFERROR(__xludf.DUMMYFUNCTION("""COMPUTED_VALUE"""),19.0)</f>
        <v>19</v>
      </c>
      <c r="L34" s="28">
        <f t="shared" si="2"/>
        <v>3534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183</v>
      </c>
      <c r="J35" s="28">
        <f>IFERROR(__xludf.DUMMYFUNCTION("""COMPUTED_VALUE"""),19.0)</f>
        <v>19</v>
      </c>
      <c r="L35" s="28">
        <f t="shared" si="2"/>
        <v>3477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3</v>
      </c>
      <c r="J36" s="28">
        <f>IFERROR(__xludf.DUMMYFUNCTION("""COMPUTED_VALUE"""),45.0)</f>
        <v>45</v>
      </c>
      <c r="L36" s="28">
        <f t="shared" si="2"/>
        <v>135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28423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82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25.0</v>
      </c>
      <c r="C4" s="10">
        <v>46.0</v>
      </c>
      <c r="D4" s="8">
        <v>25.0</v>
      </c>
      <c r="E4" s="8">
        <v>38.0</v>
      </c>
      <c r="F4" s="8">
        <v>106.0</v>
      </c>
      <c r="G4" s="8">
        <v>91.0</v>
      </c>
      <c r="H4" s="8">
        <v>65.0</v>
      </c>
      <c r="I4" s="8">
        <v>62.0</v>
      </c>
      <c r="J4" s="8">
        <v>62.0</v>
      </c>
      <c r="K4" s="8">
        <v>63.0</v>
      </c>
      <c r="L4" s="8">
        <v>120.0</v>
      </c>
      <c r="M4" s="8">
        <v>76.0</v>
      </c>
      <c r="N4" s="8"/>
      <c r="O4" s="8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30.0</v>
      </c>
      <c r="C5" s="10">
        <v>6.0</v>
      </c>
      <c r="D5" s="8">
        <v>7.0</v>
      </c>
      <c r="E5" s="8">
        <v>6.0</v>
      </c>
      <c r="F5" s="8">
        <v>13.0</v>
      </c>
      <c r="G5" s="8">
        <v>21.0</v>
      </c>
      <c r="H5" s="8">
        <v>12.0</v>
      </c>
      <c r="I5" s="8">
        <v>6.0</v>
      </c>
      <c r="J5" s="8">
        <v>6.0</v>
      </c>
      <c r="K5" s="8">
        <v>12.0</v>
      </c>
      <c r="L5" s="8">
        <v>14.0</v>
      </c>
      <c r="M5" s="8">
        <v>24.0</v>
      </c>
      <c r="N5" s="8"/>
      <c r="O5" s="8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13.0</v>
      </c>
      <c r="C6" s="10">
        <v>60.0</v>
      </c>
      <c r="D6" s="8">
        <v>14.0</v>
      </c>
      <c r="E6" s="8">
        <v>29.0</v>
      </c>
      <c r="F6" s="8">
        <v>69.0</v>
      </c>
      <c r="G6" s="8">
        <v>57.0</v>
      </c>
      <c r="H6" s="8">
        <v>35.0</v>
      </c>
      <c r="I6" s="8">
        <v>50.0</v>
      </c>
      <c r="J6" s="8">
        <v>50.0</v>
      </c>
      <c r="K6" s="8">
        <v>35.0</v>
      </c>
      <c r="L6" s="8">
        <v>50.0</v>
      </c>
      <c r="M6" s="8">
        <v>56.0</v>
      </c>
      <c r="N6" s="8"/>
      <c r="O6" s="8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19.0</v>
      </c>
      <c r="C7" s="14"/>
      <c r="D7" s="15"/>
      <c r="E7" s="8"/>
      <c r="F7" s="15"/>
      <c r="G7" s="11"/>
      <c r="H7" s="8"/>
      <c r="I7" s="11"/>
      <c r="J7" s="11"/>
      <c r="K7" s="8"/>
      <c r="L7" s="11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13.0</v>
      </c>
      <c r="C8" s="14"/>
      <c r="D8" s="15"/>
      <c r="E8" s="15"/>
      <c r="F8" s="15"/>
      <c r="G8" s="8"/>
      <c r="H8" s="11"/>
      <c r="I8" s="11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13.0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13.0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50.0</v>
      </c>
      <c r="C15" s="14"/>
      <c r="D15" s="8"/>
      <c r="E15" s="8">
        <v>1.0</v>
      </c>
      <c r="F15" s="8">
        <v>2.0</v>
      </c>
      <c r="G15" s="8"/>
      <c r="H15" s="11"/>
      <c r="I15" s="8">
        <v>1.0</v>
      </c>
      <c r="J15" s="8">
        <v>1.0</v>
      </c>
      <c r="K15" s="8">
        <v>2.0</v>
      </c>
      <c r="L15" s="11"/>
      <c r="M15" s="11"/>
      <c r="N15" s="8"/>
      <c r="O15" s="8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NURAN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4.0390306634E10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754</v>
      </c>
      <c r="J30" s="28">
        <f>IFERROR(__xludf.DUMMYFUNCTION("FILTER(
  B4:B22, 
  MMULT(
    ARRAYFORMULA(
      N(C4:AG22&lt;&gt;"""") * (COLUMN(C4:AG22)&gt;=($B$25+2)) * (COLUMN(C4:AG22)&lt;=($B$26+2))
    ),
    TRANSPOSE(COLUMN(C4:AG22)^0)
  )
)"),25.0)</f>
        <v>25</v>
      </c>
      <c r="L30" s="28">
        <f t="shared" ref="L30:L41" si="2">H30*J30</f>
        <v>18850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127</v>
      </c>
      <c r="J31" s="28">
        <f>IFERROR(__xludf.DUMMYFUNCTION("""COMPUTED_VALUE"""),30.0)</f>
        <v>30</v>
      </c>
      <c r="L31" s="28">
        <f t="shared" si="2"/>
        <v>3810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505</v>
      </c>
      <c r="J32" s="28">
        <f>IFERROR(__xludf.DUMMYFUNCTION("""COMPUTED_VALUE"""),13.0)</f>
        <v>13</v>
      </c>
      <c r="L32" s="28">
        <f t="shared" si="2"/>
        <v>6565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IFERROR(__xludf.DUMMYFUNCTION("""COMPUTED_VALUE"""),"Alez")</f>
        <v>Alez</v>
      </c>
      <c r="H33" s="1">
        <f t="shared" si="1"/>
        <v>7</v>
      </c>
      <c r="J33" s="28">
        <f>IFERROR(__xludf.DUMMYFUNCTION("""COMPUTED_VALUE"""),50.0)</f>
        <v>50</v>
      </c>
      <c r="L33" s="28">
        <f t="shared" si="2"/>
        <v>350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29575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 t="s">
        <v>60</v>
      </c>
      <c r="B1" s="1" t="s">
        <v>83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29.0</v>
      </c>
      <c r="C4" s="10">
        <v>6.0</v>
      </c>
      <c r="D4" s="8">
        <v>13.0</v>
      </c>
      <c r="E4" s="8">
        <v>13.0</v>
      </c>
      <c r="F4" s="8">
        <v>10.0</v>
      </c>
      <c r="G4" s="8">
        <v>13.0</v>
      </c>
      <c r="H4" s="8">
        <v>16.0</v>
      </c>
      <c r="I4" s="8">
        <v>16.0</v>
      </c>
      <c r="J4" s="8">
        <v>15.0</v>
      </c>
      <c r="K4" s="8">
        <v>13.0</v>
      </c>
      <c r="L4" s="8">
        <v>13.0</v>
      </c>
      <c r="M4" s="8">
        <v>20.0</v>
      </c>
      <c r="N4" s="8">
        <v>15.0</v>
      </c>
      <c r="O4" s="8">
        <v>13.0</v>
      </c>
      <c r="P4" s="8">
        <v>27.0</v>
      </c>
      <c r="Q4" s="8">
        <v>12.0</v>
      </c>
      <c r="R4" s="8">
        <v>15.0</v>
      </c>
      <c r="S4" s="8">
        <v>13.0</v>
      </c>
      <c r="T4" s="8">
        <v>7.0</v>
      </c>
      <c r="U4" s="8">
        <v>9.0</v>
      </c>
      <c r="V4" s="8">
        <v>29.0</v>
      </c>
      <c r="W4" s="8">
        <v>8.0</v>
      </c>
      <c r="X4" s="8">
        <v>15.0</v>
      </c>
      <c r="Y4" s="8">
        <v>11.0</v>
      </c>
      <c r="Z4" s="8">
        <v>10.0</v>
      </c>
      <c r="AA4" s="8">
        <v>20.0</v>
      </c>
      <c r="AB4" s="8">
        <v>9.0</v>
      </c>
      <c r="AC4" s="8">
        <v>19.0</v>
      </c>
      <c r="AD4" s="8">
        <v>17.0</v>
      </c>
      <c r="AE4" s="8">
        <v>10.0</v>
      </c>
      <c r="AF4" s="8">
        <v>13.0</v>
      </c>
      <c r="AG4" s="8"/>
    </row>
    <row r="5" ht="22.5" customHeight="1">
      <c r="A5" s="8" t="s">
        <v>37</v>
      </c>
      <c r="B5" s="9">
        <v>34.0</v>
      </c>
      <c r="C5" s="10">
        <v>8.0</v>
      </c>
      <c r="D5" s="8">
        <v>15.0</v>
      </c>
      <c r="E5" s="8">
        <v>10.0</v>
      </c>
      <c r="F5" s="8">
        <v>9.0</v>
      </c>
      <c r="G5" s="8">
        <v>18.0</v>
      </c>
      <c r="H5" s="8">
        <v>17.0</v>
      </c>
      <c r="I5" s="8">
        <v>17.0</v>
      </c>
      <c r="J5" s="8">
        <v>9.0</v>
      </c>
      <c r="K5" s="8">
        <v>11.0</v>
      </c>
      <c r="L5" s="8">
        <v>7.0</v>
      </c>
      <c r="M5" s="8">
        <v>17.0</v>
      </c>
      <c r="N5" s="8">
        <v>13.0</v>
      </c>
      <c r="O5" s="8">
        <v>11.0</v>
      </c>
      <c r="P5" s="8">
        <v>20.0</v>
      </c>
      <c r="Q5" s="8">
        <v>10.0</v>
      </c>
      <c r="R5" s="8">
        <v>14.0</v>
      </c>
      <c r="S5" s="8">
        <v>11.0</v>
      </c>
      <c r="T5" s="8">
        <v>10.0</v>
      </c>
      <c r="U5" s="8">
        <v>8.0</v>
      </c>
      <c r="V5" s="8">
        <v>24.0</v>
      </c>
      <c r="W5" s="8">
        <v>10.0</v>
      </c>
      <c r="X5" s="8">
        <v>11.0</v>
      </c>
      <c r="Y5" s="8">
        <v>11.0</v>
      </c>
      <c r="Z5" s="8">
        <v>16.0</v>
      </c>
      <c r="AA5" s="8">
        <v>17.0</v>
      </c>
      <c r="AB5" s="8">
        <v>15.0</v>
      </c>
      <c r="AC5" s="8">
        <v>20.0</v>
      </c>
      <c r="AD5" s="8">
        <v>16.0</v>
      </c>
      <c r="AE5" s="8">
        <v>11.0</v>
      </c>
      <c r="AF5" s="8">
        <v>10.0</v>
      </c>
      <c r="AG5" s="8"/>
    </row>
    <row r="6" ht="22.5" customHeight="1">
      <c r="A6" s="8" t="s">
        <v>38</v>
      </c>
      <c r="B6" s="9">
        <v>16.0</v>
      </c>
      <c r="C6" s="10">
        <v>24.0</v>
      </c>
      <c r="D6" s="8">
        <v>23.0</v>
      </c>
      <c r="E6" s="8">
        <v>27.0</v>
      </c>
      <c r="F6" s="8">
        <v>29.0</v>
      </c>
      <c r="G6" s="8">
        <v>44.0</v>
      </c>
      <c r="H6" s="8">
        <v>51.0</v>
      </c>
      <c r="I6" s="8">
        <v>45.0</v>
      </c>
      <c r="J6" s="8">
        <v>25.0</v>
      </c>
      <c r="K6" s="8">
        <v>30.0</v>
      </c>
      <c r="L6" s="8">
        <v>31.0</v>
      </c>
      <c r="M6" s="8">
        <v>46.0</v>
      </c>
      <c r="N6" s="8">
        <v>43.0</v>
      </c>
      <c r="O6" s="8">
        <v>37.0</v>
      </c>
      <c r="P6" s="8">
        <v>55.0</v>
      </c>
      <c r="Q6" s="8">
        <v>40.0</v>
      </c>
      <c r="R6" s="8">
        <v>35.0</v>
      </c>
      <c r="S6" s="8">
        <v>40.0</v>
      </c>
      <c r="T6" s="8">
        <v>22.0</v>
      </c>
      <c r="U6" s="8">
        <v>36.0</v>
      </c>
      <c r="V6" s="8">
        <v>50.0</v>
      </c>
      <c r="W6" s="8">
        <v>20.0</v>
      </c>
      <c r="X6" s="8">
        <v>34.0</v>
      </c>
      <c r="Y6" s="8">
        <v>38.0</v>
      </c>
      <c r="Z6" s="8">
        <v>30.0</v>
      </c>
      <c r="AA6" s="8">
        <v>45.0</v>
      </c>
      <c r="AB6" s="8">
        <v>29.0</v>
      </c>
      <c r="AC6" s="8">
        <v>40.0</v>
      </c>
      <c r="AD6" s="8">
        <v>52.0</v>
      </c>
      <c r="AE6" s="8">
        <v>22.0</v>
      </c>
      <c r="AF6" s="8">
        <v>30.0</v>
      </c>
      <c r="AG6" s="8"/>
    </row>
    <row r="7" ht="22.5" customHeight="1">
      <c r="A7" s="8" t="s">
        <v>39</v>
      </c>
      <c r="B7" s="9">
        <v>23.0</v>
      </c>
      <c r="C7" s="10">
        <v>15.0</v>
      </c>
      <c r="D7" s="8">
        <v>23.0</v>
      </c>
      <c r="E7" s="8">
        <v>25.0</v>
      </c>
      <c r="F7" s="8">
        <v>25.0</v>
      </c>
      <c r="G7" s="8">
        <v>29.0</v>
      </c>
      <c r="H7" s="8">
        <v>28.0</v>
      </c>
      <c r="I7" s="8">
        <v>25.0</v>
      </c>
      <c r="J7" s="8">
        <v>23.0</v>
      </c>
      <c r="K7" s="8">
        <v>12.0</v>
      </c>
      <c r="L7" s="8">
        <v>23.0</v>
      </c>
      <c r="M7" s="8">
        <v>26.0</v>
      </c>
      <c r="N7" s="8">
        <v>27.0</v>
      </c>
      <c r="O7" s="8">
        <v>25.0</v>
      </c>
      <c r="P7" s="8">
        <v>30.0</v>
      </c>
      <c r="Q7" s="8">
        <v>19.0</v>
      </c>
      <c r="R7" s="8">
        <v>24.0</v>
      </c>
      <c r="S7" s="8">
        <v>21.0</v>
      </c>
      <c r="T7" s="8">
        <v>31.0</v>
      </c>
      <c r="U7" s="8">
        <v>27.0</v>
      </c>
      <c r="V7" s="8">
        <v>26.0</v>
      </c>
      <c r="W7" s="8">
        <v>18.0</v>
      </c>
      <c r="X7" s="8">
        <v>20.0</v>
      </c>
      <c r="Y7" s="8">
        <v>26.0</v>
      </c>
      <c r="Z7" s="8">
        <v>16.0</v>
      </c>
      <c r="AA7" s="8">
        <v>34.0</v>
      </c>
      <c r="AB7" s="8">
        <v>20.0</v>
      </c>
      <c r="AC7" s="8">
        <v>34.0</v>
      </c>
      <c r="AD7" s="8">
        <v>15.0</v>
      </c>
      <c r="AE7" s="8">
        <v>21.0</v>
      </c>
      <c r="AF7" s="8">
        <v>23.0</v>
      </c>
      <c r="AG7" s="8"/>
    </row>
    <row r="8" ht="22.5" customHeight="1">
      <c r="A8" s="8" t="s">
        <v>40</v>
      </c>
      <c r="B8" s="9">
        <v>16.0</v>
      </c>
      <c r="C8" s="10">
        <v>11.0</v>
      </c>
      <c r="D8" s="8">
        <v>26.0</v>
      </c>
      <c r="E8" s="8">
        <v>25.0</v>
      </c>
      <c r="F8" s="8">
        <v>19.0</v>
      </c>
      <c r="G8" s="8">
        <v>24.0</v>
      </c>
      <c r="H8" s="8">
        <v>26.0</v>
      </c>
      <c r="I8" s="8">
        <v>23.0</v>
      </c>
      <c r="J8" s="8">
        <v>28.0</v>
      </c>
      <c r="K8" s="8">
        <v>19.0</v>
      </c>
      <c r="L8" s="8">
        <v>21.0</v>
      </c>
      <c r="M8" s="8">
        <v>28.0</v>
      </c>
      <c r="N8" s="8">
        <v>28.0</v>
      </c>
      <c r="O8" s="8">
        <v>13.0</v>
      </c>
      <c r="P8" s="8">
        <v>27.0</v>
      </c>
      <c r="Q8" s="8">
        <v>9.0</v>
      </c>
      <c r="R8" s="8">
        <v>20.0</v>
      </c>
      <c r="S8" s="8">
        <v>22.0</v>
      </c>
      <c r="T8" s="8">
        <v>20.0</v>
      </c>
      <c r="U8" s="8">
        <v>20.0</v>
      </c>
      <c r="V8" s="8">
        <v>25.0</v>
      </c>
      <c r="W8" s="8">
        <v>15.0</v>
      </c>
      <c r="X8" s="8">
        <v>21.0</v>
      </c>
      <c r="Y8" s="8">
        <v>19.0</v>
      </c>
      <c r="Z8" s="8">
        <v>13.0</v>
      </c>
      <c r="AA8" s="8">
        <v>19.0</v>
      </c>
      <c r="AB8" s="8">
        <v>14.0</v>
      </c>
      <c r="AC8" s="8">
        <v>29.0</v>
      </c>
      <c r="AD8" s="8">
        <v>11.0</v>
      </c>
      <c r="AE8" s="8">
        <v>25.0</v>
      </c>
      <c r="AF8" s="8">
        <v>11.0</v>
      </c>
      <c r="AG8" s="8"/>
    </row>
    <row r="9" ht="22.5" customHeight="1">
      <c r="A9" s="8" t="s">
        <v>41</v>
      </c>
      <c r="B9" s="9">
        <v>16.0</v>
      </c>
      <c r="C9" s="14"/>
      <c r="D9" s="8"/>
      <c r="E9" s="8"/>
      <c r="F9" s="15"/>
      <c r="G9" s="11"/>
      <c r="H9" s="11"/>
      <c r="I9" s="8"/>
      <c r="J9" s="11"/>
      <c r="K9" s="11"/>
      <c r="L9" s="11"/>
      <c r="M9" s="8"/>
      <c r="N9" s="8"/>
      <c r="O9" s="11"/>
      <c r="P9" s="11"/>
      <c r="Q9" s="11"/>
      <c r="R9" s="11"/>
      <c r="S9" s="11"/>
      <c r="T9" s="11"/>
      <c r="U9" s="11"/>
      <c r="V9" s="11"/>
      <c r="W9" s="8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16.0</v>
      </c>
      <c r="C10" s="10">
        <v>10.0</v>
      </c>
      <c r="D10" s="8">
        <v>17.0</v>
      </c>
      <c r="E10" s="8">
        <v>14.0</v>
      </c>
      <c r="F10" s="8"/>
      <c r="G10" s="8">
        <v>17.0</v>
      </c>
      <c r="H10" s="8">
        <v>18.0</v>
      </c>
      <c r="I10" s="8">
        <v>17.0</v>
      </c>
      <c r="J10" s="8">
        <v>12.0</v>
      </c>
      <c r="K10" s="8">
        <v>14.0</v>
      </c>
      <c r="L10" s="8">
        <v>15.0</v>
      </c>
      <c r="M10" s="8">
        <v>18.0</v>
      </c>
      <c r="N10" s="8">
        <v>18.0</v>
      </c>
      <c r="O10" s="8">
        <v>13.0</v>
      </c>
      <c r="P10" s="8">
        <v>16.0</v>
      </c>
      <c r="Q10" s="8">
        <v>11.0</v>
      </c>
      <c r="R10" s="8">
        <v>11.0</v>
      </c>
      <c r="S10" s="8">
        <v>12.0</v>
      </c>
      <c r="T10" s="8">
        <v>15.0</v>
      </c>
      <c r="U10" s="8">
        <v>18.0</v>
      </c>
      <c r="V10" s="8">
        <v>17.0</v>
      </c>
      <c r="W10" s="8">
        <v>9.0</v>
      </c>
      <c r="X10" s="8">
        <v>12.0</v>
      </c>
      <c r="Y10" s="8">
        <v>16.0</v>
      </c>
      <c r="Z10" s="8">
        <v>9.0</v>
      </c>
      <c r="AA10" s="8">
        <v>27.0</v>
      </c>
      <c r="AB10" s="8">
        <v>10.0</v>
      </c>
      <c r="AC10" s="8">
        <v>18.0</v>
      </c>
      <c r="AD10" s="8">
        <v>11.0</v>
      </c>
      <c r="AE10" s="8">
        <v>17.0</v>
      </c>
      <c r="AF10" s="8">
        <v>13.0</v>
      </c>
      <c r="AG10" s="8"/>
    </row>
    <row r="11" ht="22.5" customHeight="1">
      <c r="A11" s="8" t="s">
        <v>43</v>
      </c>
      <c r="B11" s="9">
        <v>10.0</v>
      </c>
      <c r="C11" s="10"/>
      <c r="D11" s="8"/>
      <c r="E11" s="8"/>
      <c r="F11" s="8">
        <v>3.0</v>
      </c>
      <c r="G11" s="8"/>
      <c r="H11" s="8">
        <v>5.0</v>
      </c>
      <c r="I11" s="8"/>
      <c r="J11" s="8">
        <v>6.0</v>
      </c>
      <c r="K11" s="8"/>
      <c r="L11" s="8"/>
      <c r="M11" s="8"/>
      <c r="N11" s="8">
        <v>4.0</v>
      </c>
      <c r="O11" s="8">
        <v>2.0</v>
      </c>
      <c r="P11" s="8">
        <v>3.0</v>
      </c>
      <c r="Q11" s="8"/>
      <c r="R11" s="8">
        <v>7.0</v>
      </c>
      <c r="S11" s="8">
        <v>4.0</v>
      </c>
      <c r="T11" s="8"/>
      <c r="U11" s="8"/>
      <c r="V11" s="8"/>
      <c r="W11" s="8">
        <v>6.0</v>
      </c>
      <c r="X11" s="8"/>
      <c r="Y11" s="8">
        <v>3.0</v>
      </c>
      <c r="Z11" s="8"/>
      <c r="AA11" s="8"/>
      <c r="AB11" s="8">
        <v>4.0</v>
      </c>
      <c r="AC11" s="8"/>
      <c r="AD11" s="8">
        <v>6.0</v>
      </c>
      <c r="AE11" s="8">
        <v>7.0</v>
      </c>
      <c r="AF11" s="8"/>
      <c r="AG11" s="8"/>
    </row>
    <row r="12" ht="22.5" customHeight="1">
      <c r="A12" s="8" t="s">
        <v>44</v>
      </c>
      <c r="B12" s="9">
        <v>42.0</v>
      </c>
      <c r="C12" s="10">
        <v>3.0</v>
      </c>
      <c r="D12" s="8">
        <v>5.0</v>
      </c>
      <c r="E12" s="8">
        <v>8.0</v>
      </c>
      <c r="F12" s="8">
        <v>3.0</v>
      </c>
      <c r="G12" s="8"/>
      <c r="H12" s="8">
        <v>4.0</v>
      </c>
      <c r="I12" s="8">
        <v>5.0</v>
      </c>
      <c r="J12" s="8">
        <v>5.0</v>
      </c>
      <c r="K12" s="8">
        <v>2.0</v>
      </c>
      <c r="L12" s="8">
        <v>3.0</v>
      </c>
      <c r="M12" s="8">
        <v>1.0</v>
      </c>
      <c r="N12" s="8"/>
      <c r="O12" s="8">
        <v>3.0</v>
      </c>
      <c r="P12" s="8">
        <v>2.0</v>
      </c>
      <c r="Q12" s="8">
        <v>1.0</v>
      </c>
      <c r="R12" s="8">
        <v>10.0</v>
      </c>
      <c r="S12" s="8"/>
      <c r="T12" s="8">
        <v>1.0</v>
      </c>
      <c r="U12" s="8">
        <v>2.0</v>
      </c>
      <c r="V12" s="8"/>
      <c r="W12" s="8">
        <v>1.0</v>
      </c>
      <c r="X12" s="8"/>
      <c r="Y12" s="8"/>
      <c r="Z12" s="8">
        <v>3.0</v>
      </c>
      <c r="AA12" s="8"/>
      <c r="AB12" s="8">
        <v>2.0</v>
      </c>
      <c r="AC12" s="8">
        <v>2.0</v>
      </c>
      <c r="AD12" s="8">
        <v>3.0</v>
      </c>
      <c r="AE12" s="8">
        <v>3.0</v>
      </c>
      <c r="AF12" s="8">
        <v>1.0</v>
      </c>
      <c r="AG12" s="8"/>
    </row>
    <row r="13" ht="22.5" customHeight="1">
      <c r="A13" s="8" t="s">
        <v>45</v>
      </c>
      <c r="B13" s="9">
        <v>20.0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42.0</v>
      </c>
      <c r="C14" s="10"/>
      <c r="D14" s="8"/>
      <c r="E14" s="8"/>
      <c r="F14" s="8">
        <v>1.0</v>
      </c>
      <c r="G14" s="8"/>
      <c r="H14" s="8"/>
      <c r="I14" s="8"/>
      <c r="J14" s="8"/>
      <c r="K14" s="8"/>
      <c r="L14" s="8"/>
      <c r="M14" s="11"/>
      <c r="N14" s="8">
        <v>1.0</v>
      </c>
      <c r="O14" s="11"/>
      <c r="P14" s="8"/>
      <c r="Q14" s="8"/>
      <c r="R14" s="11"/>
      <c r="S14" s="8"/>
      <c r="T14" s="11"/>
      <c r="U14" s="8"/>
      <c r="V14" s="8">
        <v>1.0</v>
      </c>
      <c r="W14" s="8"/>
      <c r="X14" s="8"/>
      <c r="Y14" s="8"/>
      <c r="Z14" s="11"/>
      <c r="AA14" s="8"/>
      <c r="AB14" s="8"/>
      <c r="AC14" s="8">
        <v>1.0</v>
      </c>
      <c r="AD14" s="11"/>
      <c r="AE14" s="8"/>
      <c r="AF14" s="11"/>
      <c r="AG14" s="8"/>
    </row>
    <row r="15" ht="22.5" customHeight="1">
      <c r="A15" s="8" t="s">
        <v>47</v>
      </c>
      <c r="B15" s="9">
        <v>48.0</v>
      </c>
      <c r="C15" s="14"/>
      <c r="D15" s="8"/>
      <c r="E15" s="15"/>
      <c r="F15" s="8"/>
      <c r="G15" s="11"/>
      <c r="H15" s="11"/>
      <c r="I15" s="11"/>
      <c r="J15" s="11"/>
      <c r="K15" s="11"/>
      <c r="L15" s="8"/>
      <c r="M15" s="11"/>
      <c r="N15" s="11"/>
      <c r="O15" s="11"/>
      <c r="P15" s="11"/>
      <c r="Q15" s="11"/>
      <c r="R15" s="11"/>
      <c r="S15" s="11"/>
      <c r="T15" s="8"/>
      <c r="U15" s="8"/>
      <c r="V15" s="11"/>
      <c r="W15" s="11"/>
      <c r="X15" s="11"/>
      <c r="Y15" s="11"/>
      <c r="Z15" s="8">
        <v>1.0</v>
      </c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135.0</v>
      </c>
      <c r="C16" s="10"/>
      <c r="D16" s="8"/>
      <c r="E16" s="8"/>
      <c r="F16" s="8"/>
      <c r="G16" s="11"/>
      <c r="H16" s="8"/>
      <c r="I16" s="11"/>
      <c r="J16" s="11"/>
      <c r="K16" s="11"/>
      <c r="L16" s="11"/>
      <c r="M16" s="8"/>
      <c r="N16" s="11"/>
      <c r="O16" s="8">
        <v>1.0</v>
      </c>
      <c r="P16" s="8"/>
      <c r="Q16" s="8"/>
      <c r="R16" s="11"/>
      <c r="S16" s="8"/>
      <c r="T16" s="8"/>
      <c r="U16" s="11"/>
      <c r="V16" s="8">
        <v>1.0</v>
      </c>
      <c r="W16" s="11"/>
      <c r="X16" s="11"/>
      <c r="Y16" s="8">
        <v>1.0</v>
      </c>
      <c r="Z16" s="11"/>
      <c r="AA16" s="11"/>
      <c r="AB16" s="8">
        <v>1.0</v>
      </c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/>
      <c r="R17" s="11"/>
      <c r="S17" s="11"/>
      <c r="T17" s="8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TİMUR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8.440414842E9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420</v>
      </c>
      <c r="J30" s="28">
        <f>IFERROR(__xludf.DUMMYFUNCTION("FILTER(
  B4:B22, 
  MMULT(
    ARRAYFORMULA(
      N(C4:AG22&lt;&gt;"""") * (COLUMN(C4:AG22)&gt;=($B$25+2)) * (COLUMN(C4:AG22)&lt;=($B$26+2))
    ),
    TRANSPOSE(COLUMN(C4:AG22)^0)
  )
)"),29.0)</f>
        <v>29</v>
      </c>
      <c r="L30" s="28">
        <f t="shared" ref="L30:L41" si="2">H30*J30</f>
        <v>12180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396</v>
      </c>
      <c r="J31" s="28">
        <f>IFERROR(__xludf.DUMMYFUNCTION("""COMPUTED_VALUE"""),34.0)</f>
        <v>34</v>
      </c>
      <c r="L31" s="28">
        <f t="shared" si="2"/>
        <v>13464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1073</v>
      </c>
      <c r="J32" s="28">
        <f>IFERROR(__xludf.DUMMYFUNCTION("""COMPUTED_VALUE"""),16.0)</f>
        <v>16</v>
      </c>
      <c r="L32" s="28">
        <f t="shared" si="2"/>
        <v>17168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711</v>
      </c>
      <c r="J33" s="28">
        <f>IFERROR(__xludf.DUMMYFUNCTION("""COMPUTED_VALUE"""),23.0)</f>
        <v>23</v>
      </c>
      <c r="L33" s="28">
        <f t="shared" si="2"/>
        <v>16353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611</v>
      </c>
      <c r="J34" s="28">
        <f>IFERROR(__xludf.DUMMYFUNCTION("""COMPUTED_VALUE"""),16.0)</f>
        <v>16</v>
      </c>
      <c r="L34" s="28">
        <f t="shared" si="2"/>
        <v>9776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425</v>
      </c>
      <c r="J35" s="28">
        <f>IFERROR(__xludf.DUMMYFUNCTION("""COMPUTED_VALUE"""),16.0)</f>
        <v>16</v>
      </c>
      <c r="L35" s="28">
        <f t="shared" si="2"/>
        <v>6800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IFERROR(__xludf.DUMMYFUNCTION("""COMPUTED_VALUE"""),"Traş Havlusu")</f>
        <v>Traş Havlusu</v>
      </c>
      <c r="H36" s="1">
        <f t="shared" si="1"/>
        <v>60</v>
      </c>
      <c r="J36" s="28">
        <f>IFERROR(__xludf.DUMMYFUNCTION("""COMPUTED_VALUE"""),10.0)</f>
        <v>10</v>
      </c>
      <c r="L36" s="28">
        <f t="shared" si="2"/>
        <v>600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IFERROR(__xludf.DUMMYFUNCTION("""COMPUTED_VALUE"""),"Bornoz")</f>
        <v>Bornoz</v>
      </c>
      <c r="H37" s="1">
        <f t="shared" si="1"/>
        <v>73</v>
      </c>
      <c r="J37" s="28">
        <f>IFERROR(__xludf.DUMMYFUNCTION("""COMPUTED_VALUE"""),42.0)</f>
        <v>42</v>
      </c>
      <c r="L37" s="28">
        <f t="shared" si="2"/>
        <v>3066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 t="str">
        <f>IFERROR(__xludf.DUMMYFUNCTION("""COMPUTED_VALUE"""),"Pike")</f>
        <v>Pike</v>
      </c>
      <c r="H38" s="1">
        <f t="shared" si="1"/>
        <v>4</v>
      </c>
      <c r="J38" s="28">
        <f>IFERROR(__xludf.DUMMYFUNCTION("""COMPUTED_VALUE"""),42.0)</f>
        <v>42</v>
      </c>
      <c r="L38" s="28">
        <f t="shared" si="2"/>
        <v>168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 t="str">
        <f>IFERROR(__xludf.DUMMYFUNCTION("""COMPUTED_VALUE"""),"Alez")</f>
        <v>Alez</v>
      </c>
      <c r="H39" s="1">
        <f t="shared" si="1"/>
        <v>1</v>
      </c>
      <c r="J39" s="28">
        <f>IFERROR(__xludf.DUMMYFUNCTION("""COMPUTED_VALUE"""),48.0)</f>
        <v>48</v>
      </c>
      <c r="L39" s="28">
        <f t="shared" si="2"/>
        <v>48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 t="str">
        <f>IFERROR(__xludf.DUMMYFUNCTION("""COMPUTED_VALUE"""),"Yorgan")</f>
        <v>Yorgan</v>
      </c>
      <c r="H40" s="1">
        <f t="shared" si="1"/>
        <v>4</v>
      </c>
      <c r="J40" s="28">
        <f>IFERROR(__xludf.DUMMYFUNCTION("""COMPUTED_VALUE"""),135.0)</f>
        <v>135</v>
      </c>
      <c r="L40" s="28">
        <f t="shared" si="2"/>
        <v>540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79623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60</v>
      </c>
      <c r="B1" s="1" t="s">
        <v>84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18.0</v>
      </c>
      <c r="C4" s="10"/>
      <c r="D4" s="8"/>
      <c r="E4" s="8"/>
      <c r="F4" s="8"/>
      <c r="G4" s="8"/>
      <c r="H4" s="11"/>
      <c r="I4" s="11"/>
      <c r="J4" s="11"/>
      <c r="K4" s="8"/>
      <c r="L4" s="11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20.0</v>
      </c>
      <c r="C5" s="10"/>
      <c r="D5" s="8"/>
      <c r="E5" s="15"/>
      <c r="F5" s="1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14.0</v>
      </c>
      <c r="C6" s="10"/>
      <c r="D6" s="15"/>
      <c r="E6" s="15"/>
      <c r="F6" s="15"/>
      <c r="G6" s="11"/>
      <c r="H6" s="11"/>
      <c r="I6" s="8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14.0</v>
      </c>
      <c r="C7" s="10">
        <v>122.0</v>
      </c>
      <c r="D7" s="8">
        <v>72.0</v>
      </c>
      <c r="E7" s="8">
        <v>83.0</v>
      </c>
      <c r="F7" s="8">
        <v>62.0</v>
      </c>
      <c r="G7" s="8">
        <v>31.0</v>
      </c>
      <c r="H7" s="8">
        <v>31.0</v>
      </c>
      <c r="I7" s="8">
        <v>44.0</v>
      </c>
      <c r="J7" s="8">
        <v>50.0</v>
      </c>
      <c r="K7" s="8">
        <v>61.0</v>
      </c>
      <c r="L7" s="8">
        <v>74.0</v>
      </c>
      <c r="M7" s="8">
        <v>82.0</v>
      </c>
      <c r="N7" s="8">
        <v>98.0</v>
      </c>
      <c r="O7" s="8">
        <v>35.0</v>
      </c>
      <c r="P7" s="8">
        <v>61.0</v>
      </c>
      <c r="Q7" s="8">
        <v>57.0</v>
      </c>
      <c r="R7" s="8">
        <v>76.0</v>
      </c>
      <c r="S7" s="8">
        <v>53.0</v>
      </c>
      <c r="T7" s="8">
        <v>50.0</v>
      </c>
      <c r="U7" s="8">
        <v>55.0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11"/>
    </row>
    <row r="8" ht="22.5" customHeight="1">
      <c r="A8" s="8" t="s">
        <v>40</v>
      </c>
      <c r="B8" s="9">
        <v>9.1</v>
      </c>
      <c r="C8" s="10">
        <v>36.0</v>
      </c>
      <c r="D8" s="8">
        <v>33.0</v>
      </c>
      <c r="E8" s="8">
        <v>25.0</v>
      </c>
      <c r="F8" s="8">
        <v>17.0</v>
      </c>
      <c r="G8" s="8">
        <v>17.0</v>
      </c>
      <c r="H8" s="8">
        <v>17.0</v>
      </c>
      <c r="I8" s="8">
        <v>6.0</v>
      </c>
      <c r="J8" s="8">
        <v>20.0</v>
      </c>
      <c r="K8" s="8">
        <v>20.0</v>
      </c>
      <c r="L8" s="8">
        <v>17.0</v>
      </c>
      <c r="M8" s="8">
        <v>25.0</v>
      </c>
      <c r="N8" s="8">
        <v>16.0</v>
      </c>
      <c r="O8" s="8">
        <v>13.0</v>
      </c>
      <c r="P8" s="8">
        <v>3.0</v>
      </c>
      <c r="Q8" s="8">
        <v>17.0</v>
      </c>
      <c r="R8" s="8">
        <v>23.0</v>
      </c>
      <c r="S8" s="8">
        <v>19.0</v>
      </c>
      <c r="T8" s="8">
        <v>10.0</v>
      </c>
      <c r="U8" s="8">
        <v>22.0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1"/>
    </row>
    <row r="9" ht="22.5" customHeight="1">
      <c r="A9" s="8" t="s">
        <v>41</v>
      </c>
      <c r="B9" s="9">
        <v>9.1</v>
      </c>
      <c r="C9" s="14"/>
      <c r="D9" s="8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0">
        <v>20.0</v>
      </c>
      <c r="D10" s="8">
        <v>10.0</v>
      </c>
      <c r="E10" s="8">
        <v>18.0</v>
      </c>
      <c r="F10" s="8">
        <v>16.0</v>
      </c>
      <c r="G10" s="8">
        <v>10.0</v>
      </c>
      <c r="H10" s="8">
        <v>10.0</v>
      </c>
      <c r="I10" s="8">
        <v>5.0</v>
      </c>
      <c r="J10" s="8">
        <v>10.0</v>
      </c>
      <c r="K10" s="8">
        <v>10.0</v>
      </c>
      <c r="L10" s="8">
        <v>15.0</v>
      </c>
      <c r="M10" s="8">
        <v>13.0</v>
      </c>
      <c r="N10" s="8">
        <v>14.0</v>
      </c>
      <c r="O10" s="8">
        <v>2.0</v>
      </c>
      <c r="P10" s="8">
        <v>10.0</v>
      </c>
      <c r="Q10" s="8">
        <v>10.0</v>
      </c>
      <c r="R10" s="8">
        <v>13.0</v>
      </c>
      <c r="S10" s="8">
        <v>9.0</v>
      </c>
      <c r="T10" s="8">
        <v>10.0</v>
      </c>
      <c r="U10" s="8">
        <v>8.0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9.1</v>
      </c>
      <c r="C12" s="10">
        <v>1.0</v>
      </c>
      <c r="D12" s="8"/>
      <c r="E12" s="8"/>
      <c r="F12" s="8"/>
      <c r="G12" s="8">
        <v>1.0</v>
      </c>
      <c r="H12" s="8">
        <v>1.0</v>
      </c>
      <c r="I12" s="8"/>
      <c r="J12" s="8">
        <v>5.0</v>
      </c>
      <c r="K12" s="8">
        <v>7.0</v>
      </c>
      <c r="L12" s="8"/>
      <c r="M12" s="8">
        <v>5.0</v>
      </c>
      <c r="N12" s="8">
        <v>2.0</v>
      </c>
      <c r="O12" s="8">
        <v>1.0</v>
      </c>
      <c r="P12" s="8">
        <v>3.0</v>
      </c>
      <c r="Q12" s="8">
        <v>4.0</v>
      </c>
      <c r="R12" s="8">
        <v>3.0</v>
      </c>
      <c r="S12" s="8">
        <v>3.0</v>
      </c>
      <c r="T12" s="8">
        <v>3.0</v>
      </c>
      <c r="U12" s="8">
        <v>3.0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1"/>
    </row>
    <row r="13" ht="22.5" customHeight="1">
      <c r="A13" s="8" t="s">
        <v>45</v>
      </c>
      <c r="B13" s="9">
        <v>9.1</v>
      </c>
      <c r="C13" s="10">
        <v>16.0</v>
      </c>
      <c r="D13" s="8">
        <v>7.0</v>
      </c>
      <c r="E13" s="8">
        <v>4.0</v>
      </c>
      <c r="F13" s="8">
        <v>13.0</v>
      </c>
      <c r="G13" s="8">
        <v>1.0</v>
      </c>
      <c r="H13" s="8">
        <v>1.0</v>
      </c>
      <c r="I13" s="8">
        <v>12.0</v>
      </c>
      <c r="J13" s="8">
        <v>5.0</v>
      </c>
      <c r="K13" s="8">
        <v>4.0</v>
      </c>
      <c r="L13" s="8">
        <v>10.0</v>
      </c>
      <c r="M13" s="8">
        <v>3.0</v>
      </c>
      <c r="N13" s="8">
        <v>8.0</v>
      </c>
      <c r="O13" s="8"/>
      <c r="P13" s="8">
        <v>9.0</v>
      </c>
      <c r="Q13" s="8"/>
      <c r="R13" s="8">
        <v>11.0</v>
      </c>
      <c r="S13" s="8">
        <v>5.0</v>
      </c>
      <c r="T13" s="8">
        <v>7.0</v>
      </c>
      <c r="U13" s="8">
        <v>16.0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1"/>
    </row>
    <row r="14" ht="22.5" customHeight="1">
      <c r="A14" s="8" t="s">
        <v>46</v>
      </c>
      <c r="B14" s="9">
        <v>35.0</v>
      </c>
      <c r="C14" s="10"/>
      <c r="D14" s="15"/>
      <c r="E14" s="15"/>
      <c r="F14" s="15"/>
      <c r="G14" s="11"/>
      <c r="H14" s="8"/>
      <c r="I14" s="11"/>
      <c r="J14" s="11"/>
      <c r="K14" s="11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8"/>
      <c r="E19" s="15"/>
      <c r="F19" s="15"/>
      <c r="G19" s="11"/>
      <c r="H19" s="11"/>
      <c r="I19" s="11"/>
      <c r="J19" s="11"/>
      <c r="K19" s="11"/>
      <c r="L19" s="8"/>
      <c r="M19" s="11"/>
      <c r="N19" s="11"/>
      <c r="O19" s="11"/>
      <c r="P19" s="8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22.5" customHeight="1">
      <c r="A23" s="44" t="s">
        <v>85</v>
      </c>
      <c r="B23" s="45"/>
      <c r="C23" s="50">
        <v>3.0</v>
      </c>
      <c r="D23" s="47"/>
      <c r="E23" s="47"/>
      <c r="F23" s="47"/>
      <c r="G23" s="48"/>
      <c r="H23" s="48"/>
      <c r="I23" s="44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MERKÜR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)"),"Büyük Havlu")</f>
        <v>Büyük Havlu</v>
      </c>
      <c r="H30" s="1">
        <f t="shared" ref="H30:H41" si="1">IF(ISBLANK(E30), "", 
  SUMPRODUCT(
    (TRIM($A$4:$A$22) = TRIM(E30)) * (COLUMN($C$4:$AG$22) &gt;= $B$25 + 2) * (COLUMN($C$4:$AG$22) &lt;= $B$26 + 2) * VALUE($C$4:$AG$22)
  )
)</f>
        <v>1197</v>
      </c>
      <c r="J30" s="28">
        <f>IFERROR(__xludf.DUMMYFUNCTION("FILTER(
  B4:B22, 
  MMULT(
    ARRAYFORMULA(
      N(C4:AG22&lt;&gt;"""") * (COLUMN(C4:AG22)&gt;=($B$25+2)) * (COLUMN(C4:AG22)&lt;=($B$26+2))
    ),
    TRANSPOSE(COLUMN(C4:AG22)^0)
  )
)"),14.0)</f>
        <v>14</v>
      </c>
      <c r="L30" s="28">
        <f t="shared" ref="L30:L41" si="2">H30*J30</f>
        <v>16758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IFERROR(__xludf.DUMMYFUNCTION("""COMPUTED_VALUE"""),"Küçük Havlu")</f>
        <v>Küçük Havlu</v>
      </c>
      <c r="H31" s="1">
        <f t="shared" si="1"/>
        <v>356</v>
      </c>
      <c r="J31" s="28">
        <f>IFERROR(__xludf.DUMMYFUNCTION("""COMPUTED_VALUE"""),9.1)</f>
        <v>9.1</v>
      </c>
      <c r="L31" s="28">
        <f t="shared" si="2"/>
        <v>3239.6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IFERROR(__xludf.DUMMYFUNCTION("""COMPUTED_VALUE"""),"Ayak Havlusu")</f>
        <v>Ayak Havlusu</v>
      </c>
      <c r="H32" s="1">
        <f t="shared" si="1"/>
        <v>213</v>
      </c>
      <c r="J32" s="28">
        <f>IFERROR(__xludf.DUMMYFUNCTION("""COMPUTED_VALUE"""),9.1)</f>
        <v>9.1</v>
      </c>
      <c r="L32" s="28">
        <f t="shared" si="2"/>
        <v>1938.3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IFERROR(__xludf.DUMMYFUNCTION("""COMPUTED_VALUE"""),"Bornoz")</f>
        <v>Bornoz</v>
      </c>
      <c r="H33" s="1">
        <f t="shared" si="1"/>
        <v>42</v>
      </c>
      <c r="J33" s="28">
        <f>IFERROR(__xludf.DUMMYFUNCTION("""COMPUTED_VALUE"""),9.1)</f>
        <v>9.1</v>
      </c>
      <c r="L33" s="28">
        <f t="shared" si="2"/>
        <v>382.2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IFERROR(__xludf.DUMMYFUNCTION("""COMPUTED_VALUE"""),"Peştemal")</f>
        <v>Peştemal</v>
      </c>
      <c r="H34" s="1">
        <f t="shared" si="1"/>
        <v>132</v>
      </c>
      <c r="J34" s="28">
        <f>IFERROR(__xludf.DUMMYFUNCTION("""COMPUTED_VALUE"""),9.1)</f>
        <v>9.1</v>
      </c>
      <c r="L34" s="28">
        <f t="shared" si="2"/>
        <v>1201.2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23519.3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>
        <v>9.0</v>
      </c>
      <c r="B1" s="1" t="s">
        <v>86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18.0</v>
      </c>
      <c r="C4" s="10">
        <v>7.0</v>
      </c>
      <c r="D4" s="8">
        <v>9.0</v>
      </c>
      <c r="E4" s="8">
        <v>9.0</v>
      </c>
      <c r="F4" s="8">
        <v>14.0</v>
      </c>
      <c r="G4" s="8">
        <v>19.0</v>
      </c>
      <c r="H4" s="8">
        <v>4.0</v>
      </c>
      <c r="I4" s="8">
        <v>5.0</v>
      </c>
      <c r="J4" s="8">
        <v>15.0</v>
      </c>
      <c r="K4" s="8">
        <v>8.0</v>
      </c>
      <c r="L4" s="8">
        <v>8.0</v>
      </c>
      <c r="M4" s="8">
        <v>15.0</v>
      </c>
      <c r="N4" s="8">
        <v>8.0</v>
      </c>
      <c r="O4" s="8">
        <v>13.0</v>
      </c>
      <c r="P4" s="8">
        <v>5.0</v>
      </c>
      <c r="Q4" s="8">
        <v>8.0</v>
      </c>
      <c r="R4" s="8">
        <v>6.0</v>
      </c>
      <c r="S4" s="8">
        <v>7.0</v>
      </c>
      <c r="T4" s="8">
        <v>15.0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8" t="s">
        <v>37</v>
      </c>
      <c r="B5" s="9">
        <v>20.0</v>
      </c>
      <c r="C5" s="10">
        <v>8.0</v>
      </c>
      <c r="D5" s="8">
        <v>11.0</v>
      </c>
      <c r="E5" s="8">
        <v>8.0</v>
      </c>
      <c r="F5" s="8">
        <v>11.0</v>
      </c>
      <c r="G5" s="8">
        <v>18.0</v>
      </c>
      <c r="H5" s="8">
        <v>4.0</v>
      </c>
      <c r="I5" s="8">
        <v>4.0</v>
      </c>
      <c r="J5" s="8">
        <v>12.0</v>
      </c>
      <c r="K5" s="8">
        <v>10.0</v>
      </c>
      <c r="L5" s="8">
        <v>8.0</v>
      </c>
      <c r="M5" s="8">
        <v>12.0</v>
      </c>
      <c r="N5" s="8">
        <v>11.0</v>
      </c>
      <c r="O5" s="8">
        <v>11.0</v>
      </c>
      <c r="P5" s="8">
        <v>8.0</v>
      </c>
      <c r="Q5" s="8">
        <v>3.0</v>
      </c>
      <c r="R5" s="8">
        <v>6.0</v>
      </c>
      <c r="S5" s="8">
        <v>8.0</v>
      </c>
      <c r="T5" s="8">
        <v>13.0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22.5" customHeight="1">
      <c r="A6" s="8" t="s">
        <v>38</v>
      </c>
      <c r="B6" s="9">
        <v>14.0</v>
      </c>
      <c r="C6" s="10">
        <v>16.0</v>
      </c>
      <c r="D6" s="8">
        <v>16.0</v>
      </c>
      <c r="E6" s="8">
        <v>19.0</v>
      </c>
      <c r="F6" s="8">
        <v>23.0</v>
      </c>
      <c r="G6" s="8">
        <v>31.0</v>
      </c>
      <c r="H6" s="8">
        <v>9.0</v>
      </c>
      <c r="I6" s="8">
        <v>11.0</v>
      </c>
      <c r="J6" s="8">
        <v>26.0</v>
      </c>
      <c r="K6" s="8">
        <v>18.0</v>
      </c>
      <c r="L6" s="8">
        <v>20.0</v>
      </c>
      <c r="M6" s="8">
        <v>25.0</v>
      </c>
      <c r="N6" s="8">
        <v>25.0</v>
      </c>
      <c r="O6" s="8">
        <v>20.0</v>
      </c>
      <c r="P6" s="8">
        <v>14.0</v>
      </c>
      <c r="Q6" s="8">
        <v>9.0</v>
      </c>
      <c r="R6" s="8">
        <v>13.0</v>
      </c>
      <c r="S6" s="8">
        <v>10.0</v>
      </c>
      <c r="T6" s="8">
        <v>33.0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22.5" customHeight="1">
      <c r="A7" s="8" t="s">
        <v>39</v>
      </c>
      <c r="B7" s="9">
        <v>16.0</v>
      </c>
      <c r="C7" s="10">
        <v>9.0</v>
      </c>
      <c r="D7" s="8">
        <v>9.0</v>
      </c>
      <c r="E7" s="8">
        <v>16.0</v>
      </c>
      <c r="F7" s="8">
        <v>19.0</v>
      </c>
      <c r="G7" s="8">
        <v>26.0</v>
      </c>
      <c r="H7" s="8">
        <v>8.0</v>
      </c>
      <c r="I7" s="8">
        <v>14.0</v>
      </c>
      <c r="J7" s="8">
        <v>24.0</v>
      </c>
      <c r="K7" s="8">
        <v>8.0</v>
      </c>
      <c r="L7" s="8">
        <v>15.0</v>
      </c>
      <c r="M7" s="8">
        <v>31.0</v>
      </c>
      <c r="N7" s="8">
        <v>22.0</v>
      </c>
      <c r="O7" s="8">
        <v>18.0</v>
      </c>
      <c r="P7" s="8">
        <v>15.0</v>
      </c>
      <c r="Q7" s="8">
        <v>6.0</v>
      </c>
      <c r="R7" s="8">
        <v>10.0</v>
      </c>
      <c r="S7" s="8">
        <v>17.0</v>
      </c>
      <c r="T7" s="8">
        <v>20.0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11"/>
    </row>
    <row r="8" ht="22.5" customHeight="1">
      <c r="A8" s="8" t="s">
        <v>40</v>
      </c>
      <c r="B8" s="9">
        <v>14.0</v>
      </c>
      <c r="C8" s="10">
        <v>14.0</v>
      </c>
      <c r="D8" s="8">
        <v>10.0</v>
      </c>
      <c r="E8" s="8">
        <v>17.0</v>
      </c>
      <c r="F8" s="8">
        <v>16.0</v>
      </c>
      <c r="G8" s="8">
        <v>24.0</v>
      </c>
      <c r="H8" s="8">
        <v>7.0</v>
      </c>
      <c r="I8" s="8">
        <v>12.0</v>
      </c>
      <c r="J8" s="8">
        <v>24.0</v>
      </c>
      <c r="K8" s="8">
        <v>6.0</v>
      </c>
      <c r="L8" s="8">
        <v>15.0</v>
      </c>
      <c r="M8" s="8">
        <v>22.0</v>
      </c>
      <c r="N8" s="8">
        <v>13.0</v>
      </c>
      <c r="O8" s="8">
        <v>21.0</v>
      </c>
      <c r="P8" s="8">
        <v>23.0</v>
      </c>
      <c r="Q8" s="8">
        <v>10.0</v>
      </c>
      <c r="R8" s="8">
        <v>11.0</v>
      </c>
      <c r="S8" s="8">
        <v>13.0</v>
      </c>
      <c r="T8" s="8">
        <v>22.0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1"/>
    </row>
    <row r="9" ht="22.5" customHeight="1">
      <c r="A9" s="8" t="s">
        <v>41</v>
      </c>
      <c r="B9" s="9">
        <v>14.0</v>
      </c>
      <c r="C9" s="1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1"/>
    </row>
    <row r="10" ht="22.5" customHeight="1">
      <c r="A10" s="8" t="s">
        <v>42</v>
      </c>
      <c r="B10" s="9">
        <v>14.0</v>
      </c>
      <c r="C10" s="10">
        <v>5.0</v>
      </c>
      <c r="D10" s="8">
        <v>6.0</v>
      </c>
      <c r="E10" s="8">
        <v>7.0</v>
      </c>
      <c r="F10" s="8">
        <v>9.0</v>
      </c>
      <c r="G10" s="8">
        <v>12.0</v>
      </c>
      <c r="H10" s="8">
        <v>5.0</v>
      </c>
      <c r="I10" s="8">
        <v>11.0</v>
      </c>
      <c r="J10" s="8">
        <v>16.0</v>
      </c>
      <c r="K10" s="8">
        <v>5.0</v>
      </c>
      <c r="L10" s="8">
        <v>8.0</v>
      </c>
      <c r="M10" s="8">
        <v>14.0</v>
      </c>
      <c r="N10" s="8">
        <v>8.0</v>
      </c>
      <c r="O10" s="8">
        <v>11.0</v>
      </c>
      <c r="P10" s="8" t="s">
        <v>87</v>
      </c>
      <c r="Q10" s="8">
        <v>7.0</v>
      </c>
      <c r="R10" s="8"/>
      <c r="S10" s="8">
        <v>14.0</v>
      </c>
      <c r="T10" s="8"/>
      <c r="U10" s="8"/>
      <c r="V10" s="8"/>
      <c r="W10" s="8"/>
      <c r="X10" s="8"/>
      <c r="Y10" s="8"/>
      <c r="Z10" s="8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8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THE PERA TURİZM OTELCILIK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6.120413028E9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#VALUE!</v>
      </c>
      <c r="J30" s="28">
        <f>IFERROR(__xludf.DUMMYFUNCTION("FILTER(
  B4:B22, 
  MMULT(
    ARRAYFORMULA(
      N(C4:AG22&lt;&gt;"""") * (COLUMN(C4:AG22)&gt;=($B$25+2)) * (COLUMN(C4:AG22)&lt;=($B$26+2))
    ),
    TRANSPOSE(COLUMN(C4:AG22)^0)
  )
)"),18.0)</f>
        <v>18</v>
      </c>
      <c r="L30" s="1" t="str">
        <f t="shared" ref="L30:L41" si="2">H30*J30</f>
        <v>#VALUE!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 t="str">
        <f t="shared" si="1"/>
        <v>#VALUE!</v>
      </c>
      <c r="J31" s="28">
        <f>IFERROR(__xludf.DUMMYFUNCTION("""COMPUTED_VALUE"""),20.0)</f>
        <v>20</v>
      </c>
      <c r="L31" s="1" t="str">
        <f t="shared" si="2"/>
        <v>#VALUE!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 t="str">
        <f t="shared" si="1"/>
        <v>#VALUE!</v>
      </c>
      <c r="J32" s="28">
        <f>IFERROR(__xludf.DUMMYFUNCTION("""COMPUTED_VALUE"""),14.0)</f>
        <v>14</v>
      </c>
      <c r="L32" s="1" t="str">
        <f t="shared" si="2"/>
        <v>#VALUE!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 t="str">
        <f t="shared" si="1"/>
        <v>#VALUE!</v>
      </c>
      <c r="J33" s="28">
        <f>IFERROR(__xludf.DUMMYFUNCTION("""COMPUTED_VALUE"""),16.0)</f>
        <v>16</v>
      </c>
      <c r="L33" s="1" t="str">
        <f t="shared" si="2"/>
        <v>#VALUE!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 t="str">
        <f t="shared" si="1"/>
        <v>#VALUE!</v>
      </c>
      <c r="J34" s="28">
        <f>IFERROR(__xludf.DUMMYFUNCTION("""COMPUTED_VALUE"""),14.0)</f>
        <v>14</v>
      </c>
      <c r="L34" s="1" t="str">
        <f t="shared" si="2"/>
        <v>#VALUE!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 t="str">
        <f t="shared" si="1"/>
        <v>#VALUE!</v>
      </c>
      <c r="J35" s="28">
        <f>IFERROR(__xludf.DUMMYFUNCTION("""COMPUTED_VALUE"""),14.0)</f>
        <v>14</v>
      </c>
      <c r="L35" s="1" t="str">
        <f t="shared" si="2"/>
        <v>#VALUE!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#VALUE!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60</v>
      </c>
      <c r="B1" s="1" t="s">
        <v>88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22.0</v>
      </c>
      <c r="C4" s="10">
        <v>24.0</v>
      </c>
      <c r="D4" s="8">
        <v>50.0</v>
      </c>
      <c r="E4" s="8">
        <v>21.0</v>
      </c>
      <c r="F4" s="8">
        <v>20.0</v>
      </c>
      <c r="G4" s="8">
        <v>48.0</v>
      </c>
      <c r="H4" s="8">
        <v>43.0</v>
      </c>
      <c r="I4" s="8">
        <v>51.0</v>
      </c>
      <c r="J4" s="8">
        <v>43.0</v>
      </c>
      <c r="K4" s="8">
        <v>43.0</v>
      </c>
      <c r="L4" s="8">
        <v>40.0</v>
      </c>
      <c r="M4" s="8">
        <v>38.0</v>
      </c>
      <c r="N4" s="8">
        <v>27.0</v>
      </c>
      <c r="O4" s="8">
        <v>42.0</v>
      </c>
      <c r="P4" s="8">
        <v>32.0</v>
      </c>
      <c r="Q4" s="8">
        <v>32.0</v>
      </c>
      <c r="R4" s="8">
        <v>23.0</v>
      </c>
      <c r="S4" s="8">
        <v>20.0</v>
      </c>
      <c r="T4" s="8">
        <v>23.0</v>
      </c>
      <c r="U4" s="8">
        <v>28.0</v>
      </c>
      <c r="V4" s="8">
        <v>40.0</v>
      </c>
      <c r="W4" s="8">
        <v>11.0</v>
      </c>
      <c r="X4" s="8">
        <v>27.0</v>
      </c>
      <c r="Y4" s="8">
        <v>21.0</v>
      </c>
      <c r="Z4" s="8">
        <v>21.0</v>
      </c>
      <c r="AA4" s="8">
        <v>25.0</v>
      </c>
      <c r="AB4" s="8">
        <v>23.0</v>
      </c>
      <c r="AC4" s="8">
        <v>41.0</v>
      </c>
      <c r="AD4" s="8">
        <v>39.0</v>
      </c>
      <c r="AE4" s="8">
        <v>25.0</v>
      </c>
      <c r="AF4" s="8">
        <v>32.0</v>
      </c>
      <c r="AG4" s="8"/>
    </row>
    <row r="5" ht="22.5" customHeight="1">
      <c r="A5" s="8" t="s">
        <v>37</v>
      </c>
      <c r="B5" s="9">
        <v>31.0</v>
      </c>
      <c r="C5" s="10">
        <v>28.0</v>
      </c>
      <c r="D5" s="8">
        <v>61.0</v>
      </c>
      <c r="E5" s="8">
        <v>24.0</v>
      </c>
      <c r="F5" s="8">
        <v>29.0</v>
      </c>
      <c r="G5" s="8">
        <v>60.0</v>
      </c>
      <c r="H5" s="8">
        <v>39.0</v>
      </c>
      <c r="I5" s="8">
        <v>60.0</v>
      </c>
      <c r="J5" s="8">
        <v>69.0</v>
      </c>
      <c r="K5" s="8">
        <v>45.0</v>
      </c>
      <c r="L5" s="8">
        <v>46.0</v>
      </c>
      <c r="M5" s="8">
        <v>42.0</v>
      </c>
      <c r="N5" s="8">
        <v>37.0</v>
      </c>
      <c r="O5" s="8">
        <v>46.0</v>
      </c>
      <c r="P5" s="8">
        <v>40.0</v>
      </c>
      <c r="Q5" s="8">
        <v>39.0</v>
      </c>
      <c r="R5" s="8">
        <v>28.0</v>
      </c>
      <c r="S5" s="8">
        <v>29.0</v>
      </c>
      <c r="T5" s="8">
        <v>37.0</v>
      </c>
      <c r="U5" s="8">
        <v>35.0</v>
      </c>
      <c r="V5" s="8">
        <v>48.0</v>
      </c>
      <c r="W5" s="8">
        <v>19.0</v>
      </c>
      <c r="X5" s="8">
        <v>38.0</v>
      </c>
      <c r="Y5" s="8">
        <v>27.0</v>
      </c>
      <c r="Z5" s="8">
        <v>24.0</v>
      </c>
      <c r="AA5" s="8">
        <v>28.0</v>
      </c>
      <c r="AB5" s="8">
        <v>24.0</v>
      </c>
      <c r="AC5" s="8">
        <v>44.0</v>
      </c>
      <c r="AD5" s="8">
        <v>82.0</v>
      </c>
      <c r="AE5" s="8">
        <v>30.0</v>
      </c>
      <c r="AF5" s="8">
        <v>40.0</v>
      </c>
      <c r="AG5" s="8"/>
    </row>
    <row r="6" ht="22.5" customHeight="1">
      <c r="A6" s="8" t="s">
        <v>38</v>
      </c>
      <c r="B6" s="9">
        <v>12.0</v>
      </c>
      <c r="C6" s="10">
        <v>91.0</v>
      </c>
      <c r="D6" s="8">
        <v>129.0</v>
      </c>
      <c r="E6" s="8">
        <v>69.0</v>
      </c>
      <c r="F6" s="8">
        <v>63.0</v>
      </c>
      <c r="G6" s="8">
        <v>118.0</v>
      </c>
      <c r="H6" s="8">
        <v>100.0</v>
      </c>
      <c r="I6" s="8">
        <v>109.0</v>
      </c>
      <c r="J6" s="8">
        <v>152.0</v>
      </c>
      <c r="K6" s="8">
        <v>94.0</v>
      </c>
      <c r="L6" s="8">
        <v>106.0</v>
      </c>
      <c r="M6" s="8">
        <v>98.0</v>
      </c>
      <c r="N6" s="8">
        <v>67.0</v>
      </c>
      <c r="O6" s="8">
        <v>110.0</v>
      </c>
      <c r="P6" s="8">
        <v>98.0</v>
      </c>
      <c r="Q6" s="8">
        <v>93.0</v>
      </c>
      <c r="R6" s="8">
        <v>70.0</v>
      </c>
      <c r="S6" s="8">
        <v>73.0</v>
      </c>
      <c r="T6" s="8">
        <v>74.0</v>
      </c>
      <c r="U6" s="8">
        <v>72.0</v>
      </c>
      <c r="V6" s="8">
        <v>126.0</v>
      </c>
      <c r="W6" s="8">
        <v>39.0</v>
      </c>
      <c r="X6" s="8">
        <v>105.0</v>
      </c>
      <c r="Y6" s="8">
        <v>69.0</v>
      </c>
      <c r="Z6" s="8">
        <v>51.0</v>
      </c>
      <c r="AA6" s="8">
        <v>77.0</v>
      </c>
      <c r="AB6" s="8">
        <v>65.0</v>
      </c>
      <c r="AC6" s="8">
        <v>139.0</v>
      </c>
      <c r="AD6" s="8">
        <v>87.0</v>
      </c>
      <c r="AE6" s="8">
        <v>73.0</v>
      </c>
      <c r="AF6" s="8">
        <v>96.0</v>
      </c>
      <c r="AG6" s="8"/>
    </row>
    <row r="7" ht="22.5" customHeight="1">
      <c r="A7" s="8" t="s">
        <v>39</v>
      </c>
      <c r="B7" s="9">
        <v>14.0</v>
      </c>
      <c r="C7" s="14"/>
      <c r="D7" s="15"/>
      <c r="E7" s="8"/>
      <c r="F7" s="15"/>
      <c r="G7" s="11"/>
      <c r="H7" s="8"/>
      <c r="I7" s="11"/>
      <c r="J7" s="11"/>
      <c r="K7" s="8"/>
      <c r="L7" s="11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9.1</v>
      </c>
      <c r="C8" s="14"/>
      <c r="D8" s="15"/>
      <c r="E8" s="15"/>
      <c r="F8" s="15"/>
      <c r="G8" s="8"/>
      <c r="H8" s="11"/>
      <c r="I8" s="11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9.1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9.1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8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8"/>
      <c r="AA13" s="8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8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15"/>
      <c r="G15" s="11"/>
      <c r="H15" s="11"/>
      <c r="I15" s="11"/>
      <c r="J15" s="8"/>
      <c r="K15" s="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15"/>
      <c r="F16" s="8"/>
      <c r="G16" s="11"/>
      <c r="H16" s="11"/>
      <c r="I16" s="11"/>
      <c r="J16" s="11"/>
      <c r="K16" s="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0">
        <v>22.0</v>
      </c>
      <c r="D18" s="8">
        <v>2.0</v>
      </c>
      <c r="E18" s="8">
        <v>2.0</v>
      </c>
      <c r="F18" s="15"/>
      <c r="G18" s="11"/>
      <c r="H18" s="11"/>
      <c r="I18" s="8"/>
      <c r="J18" s="11"/>
      <c r="K18" s="8"/>
      <c r="L18" s="8">
        <v>12.0</v>
      </c>
      <c r="M18" s="8">
        <v>10.0</v>
      </c>
      <c r="N18" s="11"/>
      <c r="O18" s="11"/>
      <c r="P18" s="11"/>
      <c r="Q18" s="11"/>
      <c r="R18" s="11"/>
      <c r="S18" s="11"/>
      <c r="T18" s="8"/>
      <c r="U18" s="8"/>
      <c r="V18" s="11"/>
      <c r="W18" s="11"/>
      <c r="X18" s="11"/>
      <c r="Y18" s="11"/>
      <c r="Z18" s="11"/>
      <c r="AA18" s="11"/>
      <c r="AB18" s="11"/>
      <c r="AC18" s="11"/>
      <c r="AD18" s="11"/>
      <c r="AE18" s="8"/>
      <c r="AF18" s="11"/>
      <c r="AG18" s="11"/>
    </row>
    <row r="19" ht="22.5" customHeight="1">
      <c r="A19" s="8" t="s">
        <v>67</v>
      </c>
      <c r="B19" s="9">
        <v>15.0</v>
      </c>
      <c r="C19" s="14"/>
      <c r="D19" s="8">
        <v>6.0</v>
      </c>
      <c r="E19" s="8">
        <v>2.0</v>
      </c>
      <c r="F19" s="8"/>
      <c r="G19" s="11"/>
      <c r="H19" s="8"/>
      <c r="I19" s="8"/>
      <c r="J19" s="8">
        <v>2.0</v>
      </c>
      <c r="K19" s="8"/>
      <c r="L19" s="8"/>
      <c r="M19" s="8"/>
      <c r="N19" s="8"/>
      <c r="O19" s="8"/>
      <c r="P19" s="8"/>
      <c r="Q19" s="11"/>
      <c r="R19" s="8"/>
      <c r="S19" s="8"/>
      <c r="T19" s="8"/>
      <c r="U19" s="8"/>
      <c r="V19" s="11"/>
      <c r="W19" s="8"/>
      <c r="X19" s="11"/>
      <c r="Y19" s="8"/>
      <c r="Z19" s="8"/>
      <c r="AA19" s="11"/>
      <c r="AB19" s="11"/>
      <c r="AC19" s="11"/>
      <c r="AD19" s="8"/>
      <c r="AE19" s="8"/>
      <c r="AF19" s="8"/>
      <c r="AG19" s="8"/>
    </row>
    <row r="20" ht="22.5" customHeight="1">
      <c r="A20" s="8" t="s">
        <v>89</v>
      </c>
      <c r="B20" s="9">
        <v>24.0</v>
      </c>
      <c r="C20" s="10">
        <v>1.0</v>
      </c>
      <c r="D20" s="8">
        <v>7.0</v>
      </c>
      <c r="E20" s="8">
        <v>7.0</v>
      </c>
      <c r="F20" s="8">
        <v>6.0</v>
      </c>
      <c r="G20" s="8">
        <v>7.0</v>
      </c>
      <c r="H20" s="8"/>
      <c r="I20" s="8">
        <v>7.0</v>
      </c>
      <c r="J20" s="8">
        <v>6.0</v>
      </c>
      <c r="K20" s="8"/>
      <c r="L20" s="8"/>
      <c r="M20" s="8">
        <v>1.0</v>
      </c>
      <c r="N20" s="8"/>
      <c r="O20" s="8">
        <v>7.0</v>
      </c>
      <c r="P20" s="8"/>
      <c r="Q20" s="8"/>
      <c r="R20" s="8"/>
      <c r="S20" s="8">
        <v>7.0</v>
      </c>
      <c r="T20" s="8"/>
      <c r="U20" s="8">
        <v>8.0</v>
      </c>
      <c r="V20" s="8"/>
      <c r="W20" s="8"/>
      <c r="X20" s="8">
        <v>10.0</v>
      </c>
      <c r="Y20" s="8"/>
      <c r="Z20" s="8">
        <v>7.0</v>
      </c>
      <c r="AA20" s="8"/>
      <c r="AB20" s="8"/>
      <c r="AC20" s="8"/>
      <c r="AD20" s="8"/>
      <c r="AE20" s="8">
        <v>5.0</v>
      </c>
      <c r="AF20" s="8"/>
      <c r="AG20" s="8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23.0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23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HOTEL ERBOY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3.390031498E9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227</v>
      </c>
      <c r="J30" s="28">
        <f>IFERROR(__xludf.DUMMYFUNCTION("FILTER(
  B4:B22, 
  MMULT(
    ARRAYFORMULA(
      N(C4:AG22&lt;&gt;"""") * (COLUMN(C4:AG22)&gt;=($B$25+2)) * (COLUMN(C4:AG22)&lt;=($B$26+2))
    ),
    TRANSPOSE(COLUMN(C4:AG22)^0)
  )
)"),22.0)</f>
        <v>22</v>
      </c>
      <c r="L30" s="28">
        <f t="shared" ref="L30:L41" si="2">H30*J30</f>
        <v>4994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299</v>
      </c>
      <c r="J31" s="28">
        <f>IFERROR(__xludf.DUMMYFUNCTION("""COMPUTED_VALUE"""),31.0)</f>
        <v>31</v>
      </c>
      <c r="L31" s="28">
        <f t="shared" si="2"/>
        <v>9269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657</v>
      </c>
      <c r="J32" s="28">
        <f>IFERROR(__xludf.DUMMYFUNCTION("""COMPUTED_VALUE"""),12.0)</f>
        <v>12</v>
      </c>
      <c r="L32" s="28">
        <f t="shared" si="2"/>
        <v>7884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IFERROR(__xludf.DUMMYFUNCTION("""COMPUTED_VALUE"""),"RUNNER")</f>
        <v>RUNNER</v>
      </c>
      <c r="H33" s="1">
        <f t="shared" si="1"/>
        <v>12</v>
      </c>
      <c r="J33" s="28">
        <f>IFERROR(__xludf.DUMMYFUNCTION("""COMPUTED_VALUE"""),24.0)</f>
        <v>24</v>
      </c>
      <c r="L33" s="28">
        <f t="shared" si="2"/>
        <v>288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22435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33" width="5.63"/>
  </cols>
  <sheetData>
    <row r="1">
      <c r="A1" s="1"/>
      <c r="B1" s="1" t="s">
        <v>90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5.0</v>
      </c>
      <c r="D4" s="8">
        <v>15.0</v>
      </c>
      <c r="E4" s="8">
        <v>14.0</v>
      </c>
      <c r="F4" s="8">
        <v>8.0</v>
      </c>
      <c r="G4" s="8">
        <v>6.0</v>
      </c>
      <c r="H4" s="8">
        <v>21.0</v>
      </c>
      <c r="I4" s="8">
        <v>17.0</v>
      </c>
      <c r="J4" s="8">
        <v>11.0</v>
      </c>
      <c r="K4" s="8">
        <v>8.0</v>
      </c>
      <c r="L4" s="8">
        <v>6.0</v>
      </c>
      <c r="M4" s="8">
        <v>9.0</v>
      </c>
      <c r="N4" s="8">
        <v>9.0</v>
      </c>
      <c r="O4" s="8">
        <v>9.0</v>
      </c>
      <c r="P4" s="8">
        <v>13.0</v>
      </c>
      <c r="Q4" s="8">
        <v>15.0</v>
      </c>
      <c r="R4" s="8">
        <v>9.0</v>
      </c>
      <c r="S4" s="8">
        <v>15.0</v>
      </c>
      <c r="T4" s="8">
        <v>16.0</v>
      </c>
      <c r="U4" s="8"/>
      <c r="V4" s="8"/>
      <c r="W4" s="8"/>
      <c r="X4" s="8"/>
      <c r="Y4" s="8"/>
      <c r="Z4" s="8"/>
      <c r="AA4" s="8"/>
      <c r="AB4" s="8"/>
      <c r="AC4" s="8"/>
      <c r="AD4" s="11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5.0</v>
      </c>
      <c r="D5" s="8">
        <v>16.0</v>
      </c>
      <c r="E5" s="8">
        <v>14.0</v>
      </c>
      <c r="F5" s="8">
        <v>9.0</v>
      </c>
      <c r="G5" s="8">
        <v>8.0</v>
      </c>
      <c r="H5" s="8">
        <v>16.0</v>
      </c>
      <c r="I5" s="8">
        <v>12.0</v>
      </c>
      <c r="J5" s="8">
        <v>14.0</v>
      </c>
      <c r="K5" s="8">
        <v>8.0</v>
      </c>
      <c r="L5" s="8">
        <v>5.0</v>
      </c>
      <c r="M5" s="8">
        <v>8.0</v>
      </c>
      <c r="N5" s="8">
        <v>8.0</v>
      </c>
      <c r="O5" s="8">
        <v>8.0</v>
      </c>
      <c r="P5" s="8">
        <v>13.0</v>
      </c>
      <c r="Q5" s="8">
        <v>16.0</v>
      </c>
      <c r="R5" s="8">
        <v>9.0</v>
      </c>
      <c r="S5" s="8">
        <v>17.0</v>
      </c>
      <c r="T5" s="8">
        <v>16.0</v>
      </c>
      <c r="U5" s="8"/>
      <c r="V5" s="8"/>
      <c r="W5" s="8"/>
      <c r="X5" s="8"/>
      <c r="Y5" s="8"/>
      <c r="Z5" s="8"/>
      <c r="AA5" s="8"/>
      <c r="AB5" s="8"/>
      <c r="AC5" s="8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6.0</v>
      </c>
      <c r="D6" s="8">
        <v>25.0</v>
      </c>
      <c r="E6" s="8">
        <v>20.0</v>
      </c>
      <c r="F6" s="8">
        <v>16.0</v>
      </c>
      <c r="G6" s="8">
        <v>13.0</v>
      </c>
      <c r="H6" s="8">
        <v>31.0</v>
      </c>
      <c r="I6" s="8">
        <v>16.0</v>
      </c>
      <c r="J6" s="8">
        <v>27.0</v>
      </c>
      <c r="K6" s="8">
        <v>13.0</v>
      </c>
      <c r="L6" s="8">
        <v>8.0</v>
      </c>
      <c r="M6" s="8">
        <v>15.0</v>
      </c>
      <c r="N6" s="8">
        <v>14.0</v>
      </c>
      <c r="O6" s="8">
        <v>14.0</v>
      </c>
      <c r="P6" s="8">
        <v>21.0</v>
      </c>
      <c r="Q6" s="8">
        <v>4.0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1"/>
      <c r="AE6" s="11"/>
      <c r="AF6" s="11"/>
      <c r="AG6" s="11"/>
    </row>
    <row r="7" ht="22.5" customHeight="1">
      <c r="A7" s="8" t="s">
        <v>39</v>
      </c>
      <c r="B7" s="9">
        <v>22.0</v>
      </c>
      <c r="C7" s="10">
        <v>10.0</v>
      </c>
      <c r="D7" s="8">
        <v>16.0</v>
      </c>
      <c r="E7" s="8">
        <v>12.0</v>
      </c>
      <c r="F7" s="8">
        <v>17.0</v>
      </c>
      <c r="G7" s="8">
        <v>11.0</v>
      </c>
      <c r="H7" s="8">
        <v>19.0</v>
      </c>
      <c r="I7" s="8">
        <v>21.0</v>
      </c>
      <c r="J7" s="8">
        <v>38.0</v>
      </c>
      <c r="K7" s="8">
        <v>16.0</v>
      </c>
      <c r="L7" s="8">
        <v>11.0</v>
      </c>
      <c r="M7" s="8">
        <v>8.0</v>
      </c>
      <c r="N7" s="8">
        <v>11.0</v>
      </c>
      <c r="O7" s="8">
        <v>20.0</v>
      </c>
      <c r="P7" s="8">
        <v>13.0</v>
      </c>
      <c r="Q7" s="8">
        <v>4.0</v>
      </c>
      <c r="R7" s="8">
        <v>1.0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14.0</v>
      </c>
      <c r="D8" s="8">
        <v>21.0</v>
      </c>
      <c r="E8" s="8">
        <v>15.0</v>
      </c>
      <c r="F8" s="8">
        <v>15.0</v>
      </c>
      <c r="G8" s="8">
        <v>18.0</v>
      </c>
      <c r="H8" s="8">
        <v>13.0</v>
      </c>
      <c r="I8" s="8">
        <v>21.0</v>
      </c>
      <c r="J8" s="8">
        <v>22.0</v>
      </c>
      <c r="K8" s="8">
        <v>18.0</v>
      </c>
      <c r="L8" s="8">
        <v>11.0</v>
      </c>
      <c r="M8" s="8">
        <v>13.0</v>
      </c>
      <c r="N8" s="8">
        <v>5.0</v>
      </c>
      <c r="O8" s="8">
        <v>16.0</v>
      </c>
      <c r="P8" s="8">
        <v>11.0</v>
      </c>
      <c r="Q8" s="8">
        <v>1.0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1"/>
      <c r="AE8" s="11"/>
      <c r="AF8" s="11"/>
      <c r="AG8" s="11"/>
    </row>
    <row r="9" ht="22.5" customHeight="1">
      <c r="A9" s="8" t="s">
        <v>41</v>
      </c>
      <c r="B9" s="9">
        <v>19.0</v>
      </c>
      <c r="C9" s="14"/>
      <c r="D9" s="8"/>
      <c r="E9" s="8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/>
      <c r="D10" s="8">
        <v>9.0</v>
      </c>
      <c r="E10" s="8">
        <v>14.0</v>
      </c>
      <c r="F10" s="8"/>
      <c r="G10" s="8">
        <v>7.0</v>
      </c>
      <c r="H10" s="8">
        <v>8.0</v>
      </c>
      <c r="I10" s="8">
        <v>10.0</v>
      </c>
      <c r="J10" s="8">
        <v>16.0</v>
      </c>
      <c r="K10" s="8">
        <v>6.0</v>
      </c>
      <c r="L10" s="8">
        <v>5.0</v>
      </c>
      <c r="M10" s="8">
        <v>12.0</v>
      </c>
      <c r="N10" s="8">
        <v>7.0</v>
      </c>
      <c r="O10" s="8">
        <v>15.0</v>
      </c>
      <c r="P10" s="8">
        <v>5.0</v>
      </c>
      <c r="Q10" s="8">
        <v>2.0</v>
      </c>
      <c r="R10" s="8">
        <v>5.0</v>
      </c>
      <c r="S10" s="8">
        <v>3.0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35.0</v>
      </c>
      <c r="C12" s="14"/>
      <c r="D12" s="8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40.0</v>
      </c>
      <c r="C14" s="14"/>
      <c r="D14" s="15"/>
      <c r="E14" s="8">
        <v>2.0</v>
      </c>
      <c r="F14" s="15"/>
      <c r="G14" s="11"/>
      <c r="H14" s="8"/>
      <c r="I14" s="8"/>
      <c r="J14" s="11"/>
      <c r="K14" s="11"/>
      <c r="L14" s="11"/>
      <c r="M14" s="11"/>
      <c r="N14" s="11"/>
      <c r="O14" s="11"/>
      <c r="P14" s="8"/>
      <c r="Q14" s="11"/>
      <c r="R14" s="11"/>
      <c r="S14" s="8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40.0</v>
      </c>
      <c r="C15" s="14"/>
      <c r="D15" s="15"/>
      <c r="E15" s="15"/>
      <c r="F15" s="8"/>
      <c r="G15" s="11"/>
      <c r="H15" s="11"/>
      <c r="I15" s="8"/>
      <c r="J15" s="11"/>
      <c r="K15" s="11"/>
      <c r="L15" s="11"/>
      <c r="M15" s="11"/>
      <c r="N15" s="11"/>
      <c r="O15" s="11"/>
      <c r="P15" s="11"/>
      <c r="Q15" s="11"/>
      <c r="R15" s="8"/>
      <c r="S15" s="11"/>
      <c r="T15" s="11"/>
      <c r="U15" s="11"/>
      <c r="V15" s="11"/>
      <c r="W15" s="11"/>
      <c r="X15" s="8"/>
      <c r="Y15" s="11"/>
      <c r="Z15" s="8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150.0</v>
      </c>
      <c r="C16" s="14"/>
      <c r="D16" s="15"/>
      <c r="E16" s="8">
        <v>1.0</v>
      </c>
      <c r="F16" s="8"/>
      <c r="G16" s="11"/>
      <c r="H16" s="11"/>
      <c r="I16" s="11"/>
      <c r="J16" s="8"/>
      <c r="K16" s="11"/>
      <c r="L16" s="8"/>
      <c r="M16" s="11"/>
      <c r="N16" s="8"/>
      <c r="O16" s="11"/>
      <c r="P16" s="8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51</v>
      </c>
      <c r="B19" s="9">
        <v>200.0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8"/>
      <c r="Q19" s="11"/>
      <c r="R19" s="11"/>
      <c r="S19" s="8"/>
      <c r="T19" s="11"/>
      <c r="U19" s="11"/>
      <c r="V19" s="11"/>
      <c r="W19" s="11"/>
      <c r="X19" s="11"/>
      <c r="Y19" s="8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SİNAN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2.270408599E9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206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4944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202</v>
      </c>
      <c r="J31" s="28">
        <f>IFERROR(__xludf.DUMMYFUNCTION("""COMPUTED_VALUE"""),27.0)</f>
        <v>27</v>
      </c>
      <c r="L31" s="28">
        <f t="shared" si="2"/>
        <v>5454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243</v>
      </c>
      <c r="J32" s="28">
        <f>IFERROR(__xludf.DUMMYFUNCTION("""COMPUTED_VALUE"""),19.0)</f>
        <v>19</v>
      </c>
      <c r="L32" s="28">
        <f t="shared" si="2"/>
        <v>4617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228</v>
      </c>
      <c r="J33" s="28">
        <f>IFERROR(__xludf.DUMMYFUNCTION("""COMPUTED_VALUE"""),22.0)</f>
        <v>22</v>
      </c>
      <c r="L33" s="28">
        <f t="shared" si="2"/>
        <v>5016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214</v>
      </c>
      <c r="J34" s="28">
        <f>IFERROR(__xludf.DUMMYFUNCTION("""COMPUTED_VALUE"""),19.0)</f>
        <v>19</v>
      </c>
      <c r="L34" s="28">
        <f t="shared" si="2"/>
        <v>4066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124</v>
      </c>
      <c r="J35" s="28">
        <f>IFERROR(__xludf.DUMMYFUNCTION("""COMPUTED_VALUE"""),19.0)</f>
        <v>19</v>
      </c>
      <c r="L35" s="28">
        <f t="shared" si="2"/>
        <v>2356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2</v>
      </c>
      <c r="J36" s="28">
        <f>IFERROR(__xludf.DUMMYFUNCTION("""COMPUTED_VALUE"""),40.0)</f>
        <v>40</v>
      </c>
      <c r="L36" s="28">
        <f t="shared" si="2"/>
        <v>80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IFERROR(__xludf.DUMMYFUNCTION("""COMPUTED_VALUE"""),"Yorgan")</f>
        <v>Yorgan</v>
      </c>
      <c r="H37" s="1">
        <f t="shared" si="1"/>
        <v>1</v>
      </c>
      <c r="J37" s="28">
        <f>IFERROR(__xludf.DUMMYFUNCTION("""COMPUTED_VALUE"""),150.0)</f>
        <v>150</v>
      </c>
      <c r="L37" s="28">
        <f t="shared" si="2"/>
        <v>150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26683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91</v>
      </c>
      <c r="B1" s="1" t="s">
        <v>92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15.0</v>
      </c>
      <c r="C4" s="10">
        <v>56.0</v>
      </c>
      <c r="D4" s="8">
        <v>27.0</v>
      </c>
      <c r="E4" s="8">
        <v>30.0</v>
      </c>
      <c r="F4" s="8">
        <v>58.0</v>
      </c>
      <c r="G4" s="8">
        <v>73.0</v>
      </c>
      <c r="H4" s="8">
        <v>31.0</v>
      </c>
      <c r="I4" s="8">
        <v>27.0</v>
      </c>
      <c r="J4" s="8">
        <v>36.0</v>
      </c>
      <c r="K4" s="8">
        <v>43.0</v>
      </c>
      <c r="L4" s="8">
        <v>47.0</v>
      </c>
      <c r="M4" s="8">
        <v>44.0</v>
      </c>
      <c r="N4" s="8">
        <v>31.0</v>
      </c>
      <c r="O4" s="8">
        <v>46.0</v>
      </c>
      <c r="P4" s="8">
        <v>120.0</v>
      </c>
      <c r="Q4" s="8">
        <v>33.0</v>
      </c>
      <c r="R4" s="8">
        <v>34.0</v>
      </c>
      <c r="S4" s="8">
        <v>40.0</v>
      </c>
      <c r="T4" s="8">
        <v>55.0</v>
      </c>
      <c r="U4" s="8">
        <v>49.0</v>
      </c>
      <c r="V4" s="8">
        <v>95.0</v>
      </c>
      <c r="W4" s="8">
        <v>35.0</v>
      </c>
      <c r="X4" s="8">
        <v>52.0</v>
      </c>
      <c r="Y4" s="8">
        <v>47.0</v>
      </c>
      <c r="Z4" s="8">
        <v>42.0</v>
      </c>
      <c r="AA4" s="8">
        <v>56.0</v>
      </c>
      <c r="AB4" s="8">
        <v>62.0</v>
      </c>
      <c r="AC4" s="8">
        <v>60.0</v>
      </c>
      <c r="AD4" s="8">
        <v>39.0</v>
      </c>
      <c r="AE4" s="8">
        <v>43.0</v>
      </c>
      <c r="AF4" s="8">
        <v>54.0</v>
      </c>
      <c r="AG4" s="8"/>
    </row>
    <row r="5" ht="22.5" customHeight="1">
      <c r="A5" s="8" t="s">
        <v>37</v>
      </c>
      <c r="B5" s="9">
        <v>20.0</v>
      </c>
      <c r="C5" s="10">
        <v>1.0</v>
      </c>
      <c r="D5" s="8"/>
      <c r="E5" s="8"/>
      <c r="F5" s="8"/>
      <c r="G5" s="8">
        <v>1.0</v>
      </c>
      <c r="H5" s="8">
        <v>2.0</v>
      </c>
      <c r="I5" s="8"/>
      <c r="J5" s="8">
        <v>1.0</v>
      </c>
      <c r="K5" s="8">
        <v>1.0</v>
      </c>
      <c r="L5" s="8">
        <v>4.0</v>
      </c>
      <c r="M5" s="8">
        <v>2.0</v>
      </c>
      <c r="N5" s="8">
        <v>1.0</v>
      </c>
      <c r="O5" s="11"/>
      <c r="P5" s="8">
        <v>2.0</v>
      </c>
      <c r="Q5" s="8">
        <v>2.0</v>
      </c>
      <c r="R5" s="8"/>
      <c r="S5" s="8"/>
      <c r="T5" s="8">
        <v>1.0</v>
      </c>
      <c r="U5" s="8">
        <v>1.0</v>
      </c>
      <c r="V5" s="8">
        <v>2.0</v>
      </c>
      <c r="W5" s="8"/>
      <c r="X5" s="8"/>
      <c r="Y5" s="8"/>
      <c r="Z5" s="8"/>
      <c r="AA5" s="8">
        <v>3.0</v>
      </c>
      <c r="AB5" s="8"/>
      <c r="AC5" s="8">
        <v>1.0</v>
      </c>
      <c r="AD5" s="8">
        <v>1.0</v>
      </c>
      <c r="AE5" s="8"/>
      <c r="AF5" s="8">
        <v>5.0</v>
      </c>
      <c r="AG5" s="8"/>
    </row>
    <row r="6" ht="22.5" customHeight="1">
      <c r="A6" s="8" t="s">
        <v>38</v>
      </c>
      <c r="B6" s="9">
        <v>9.0</v>
      </c>
      <c r="C6" s="10">
        <v>95.0</v>
      </c>
      <c r="D6" s="8">
        <v>77.0</v>
      </c>
      <c r="E6" s="8">
        <v>58.0</v>
      </c>
      <c r="F6" s="8">
        <v>109.0</v>
      </c>
      <c r="G6" s="8">
        <v>73.0</v>
      </c>
      <c r="H6" s="8">
        <v>60.0</v>
      </c>
      <c r="I6" s="8">
        <v>77.0</v>
      </c>
      <c r="J6" s="8">
        <v>71.0</v>
      </c>
      <c r="K6" s="8">
        <v>82.0</v>
      </c>
      <c r="L6" s="8">
        <v>70.0</v>
      </c>
      <c r="M6" s="8">
        <v>85.0</v>
      </c>
      <c r="N6" s="8">
        <v>66.0</v>
      </c>
      <c r="O6" s="8">
        <v>104.0</v>
      </c>
      <c r="P6" s="8">
        <v>122.0</v>
      </c>
      <c r="Q6" s="8">
        <v>91.0</v>
      </c>
      <c r="R6" s="8">
        <v>53.0</v>
      </c>
      <c r="S6" s="8">
        <v>68.0</v>
      </c>
      <c r="T6" s="8">
        <v>88.0</v>
      </c>
      <c r="U6" s="8">
        <v>76.0</v>
      </c>
      <c r="V6" s="8">
        <v>97.0</v>
      </c>
      <c r="W6" s="8">
        <v>60.0</v>
      </c>
      <c r="X6" s="8">
        <v>88.0</v>
      </c>
      <c r="Y6" s="8">
        <v>76.0</v>
      </c>
      <c r="Z6" s="8">
        <v>89.0</v>
      </c>
      <c r="AA6" s="8">
        <v>80.0</v>
      </c>
      <c r="AB6" s="8">
        <v>77.0</v>
      </c>
      <c r="AC6" s="8">
        <v>87.0</v>
      </c>
      <c r="AD6" s="8">
        <v>64.0</v>
      </c>
      <c r="AE6" s="8">
        <v>65.0</v>
      </c>
      <c r="AF6" s="8">
        <v>100.0</v>
      </c>
      <c r="AG6" s="8"/>
    </row>
    <row r="7" ht="22.5" customHeight="1">
      <c r="A7" s="8" t="s">
        <v>39</v>
      </c>
      <c r="B7" s="9">
        <v>14.0</v>
      </c>
      <c r="C7" s="10">
        <v>92.0</v>
      </c>
      <c r="D7" s="8">
        <v>70.0</v>
      </c>
      <c r="E7" s="8">
        <v>67.0</v>
      </c>
      <c r="F7" s="8">
        <v>67.0</v>
      </c>
      <c r="G7" s="8">
        <v>75.0</v>
      </c>
      <c r="H7" s="8">
        <v>62.0</v>
      </c>
      <c r="I7" s="8">
        <v>100.0</v>
      </c>
      <c r="J7" s="8">
        <v>77.0</v>
      </c>
      <c r="K7" s="8">
        <v>81.0</v>
      </c>
      <c r="L7" s="8">
        <v>74.0</v>
      </c>
      <c r="M7" s="8">
        <v>91.0</v>
      </c>
      <c r="N7" s="8">
        <v>85.0</v>
      </c>
      <c r="O7" s="8">
        <v>122.0</v>
      </c>
      <c r="P7" s="8">
        <v>128.0</v>
      </c>
      <c r="Q7" s="8">
        <v>80.0</v>
      </c>
      <c r="R7" s="8">
        <v>53.0</v>
      </c>
      <c r="S7" s="8">
        <v>82.0</v>
      </c>
      <c r="T7" s="8">
        <v>84.0</v>
      </c>
      <c r="U7" s="8">
        <v>105.0</v>
      </c>
      <c r="V7" s="8">
        <v>86.0</v>
      </c>
      <c r="W7" s="8">
        <v>78.0</v>
      </c>
      <c r="X7" s="8">
        <v>51.0</v>
      </c>
      <c r="Y7" s="8">
        <v>111.0</v>
      </c>
      <c r="Z7" s="8">
        <v>87.0</v>
      </c>
      <c r="AA7" s="8">
        <v>121.0</v>
      </c>
      <c r="AB7" s="8">
        <v>127.0</v>
      </c>
      <c r="AC7" s="8">
        <v>120.0</v>
      </c>
      <c r="AD7" s="8">
        <v>73.0</v>
      </c>
      <c r="AE7" s="8">
        <v>85.0</v>
      </c>
      <c r="AF7" s="8">
        <v>80.0</v>
      </c>
      <c r="AG7" s="8"/>
    </row>
    <row r="8" ht="22.5" customHeight="1">
      <c r="A8" s="8" t="s">
        <v>40</v>
      </c>
      <c r="B8" s="9">
        <v>9.1</v>
      </c>
      <c r="C8" s="14"/>
      <c r="D8" s="15"/>
      <c r="E8" s="15"/>
      <c r="F8" s="15"/>
      <c r="G8" s="8"/>
      <c r="H8" s="11"/>
      <c r="I8" s="11"/>
      <c r="J8" s="11"/>
      <c r="K8" s="11"/>
      <c r="L8" s="8">
        <v>2.0</v>
      </c>
      <c r="M8" s="8"/>
      <c r="N8" s="8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9.1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9.1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23.0</v>
      </c>
      <c r="C14" s="10">
        <v>15.0</v>
      </c>
      <c r="D14" s="8">
        <v>15.0</v>
      </c>
      <c r="E14" s="8">
        <v>13.0</v>
      </c>
      <c r="F14" s="8">
        <v>24.0</v>
      </c>
      <c r="G14" s="8">
        <v>15.0</v>
      </c>
      <c r="H14" s="8">
        <v>13.0</v>
      </c>
      <c r="I14" s="8">
        <v>10.0</v>
      </c>
      <c r="J14" s="8">
        <v>17.0</v>
      </c>
      <c r="K14" s="8">
        <v>22.0</v>
      </c>
      <c r="L14" s="8">
        <v>13.0</v>
      </c>
      <c r="M14" s="8">
        <v>15.0</v>
      </c>
      <c r="N14" s="8">
        <v>9.0</v>
      </c>
      <c r="O14" s="8">
        <v>22.0</v>
      </c>
      <c r="P14" s="8">
        <v>18.0</v>
      </c>
      <c r="Q14" s="8">
        <v>10.0</v>
      </c>
      <c r="R14" s="8">
        <v>13.0</v>
      </c>
      <c r="S14" s="8">
        <v>14.0</v>
      </c>
      <c r="T14" s="8">
        <v>12.0</v>
      </c>
      <c r="U14" s="8">
        <v>22.0</v>
      </c>
      <c r="V14" s="8">
        <v>6.0</v>
      </c>
      <c r="W14" s="8">
        <v>17.0</v>
      </c>
      <c r="X14" s="8">
        <v>13.0</v>
      </c>
      <c r="Y14" s="8">
        <v>22.0</v>
      </c>
      <c r="Z14" s="8">
        <v>15.0</v>
      </c>
      <c r="AA14" s="8">
        <v>16.0</v>
      </c>
      <c r="AB14" s="8">
        <v>13.0</v>
      </c>
      <c r="AC14" s="8">
        <v>23.0</v>
      </c>
      <c r="AD14" s="8">
        <v>12.0</v>
      </c>
      <c r="AE14" s="8">
        <v>20.0</v>
      </c>
      <c r="AF14" s="8">
        <v>8.0</v>
      </c>
      <c r="AG14" s="8"/>
    </row>
    <row r="15" ht="22.5" customHeight="1">
      <c r="A15" s="8" t="s">
        <v>47</v>
      </c>
      <c r="B15" s="9">
        <v>25.0</v>
      </c>
      <c r="C15" s="10">
        <v>2.0</v>
      </c>
      <c r="D15" s="8">
        <v>3.0</v>
      </c>
      <c r="E15" s="8"/>
      <c r="F15" s="8">
        <v>2.0</v>
      </c>
      <c r="G15" s="8"/>
      <c r="H15" s="8">
        <v>2.0</v>
      </c>
      <c r="I15" s="8">
        <v>3.0</v>
      </c>
      <c r="J15" s="8"/>
      <c r="K15" s="8">
        <v>1.0</v>
      </c>
      <c r="L15" s="8"/>
      <c r="M15" s="8"/>
      <c r="N15" s="8"/>
      <c r="O15" s="8">
        <v>2.0</v>
      </c>
      <c r="P15" s="8"/>
      <c r="Q15" s="8"/>
      <c r="R15" s="8"/>
      <c r="S15" s="8"/>
      <c r="T15" s="8">
        <v>1.0</v>
      </c>
      <c r="U15" s="8"/>
      <c r="V15" s="11"/>
      <c r="W15" s="8"/>
      <c r="X15" s="8"/>
      <c r="Y15" s="11"/>
      <c r="Z15" s="8">
        <v>1.0</v>
      </c>
      <c r="AA15" s="8"/>
      <c r="AB15" s="11"/>
      <c r="AC15" s="8">
        <v>2.0</v>
      </c>
      <c r="AD15" s="8">
        <v>2.0</v>
      </c>
      <c r="AE15" s="8">
        <v>1.0</v>
      </c>
      <c r="AF15" s="11"/>
      <c r="AG15" s="11"/>
    </row>
    <row r="16" ht="22.5" customHeight="1">
      <c r="A16" s="8" t="s">
        <v>48</v>
      </c>
      <c r="B16" s="9">
        <v>55.0</v>
      </c>
      <c r="C16" s="10">
        <v>1.0</v>
      </c>
      <c r="D16" s="8">
        <v>2.0</v>
      </c>
      <c r="E16" s="8"/>
      <c r="F16" s="8">
        <v>1.0</v>
      </c>
      <c r="G16" s="8">
        <v>1.0</v>
      </c>
      <c r="H16" s="8">
        <v>1.0</v>
      </c>
      <c r="I16" s="8"/>
      <c r="J16" s="8"/>
      <c r="K16" s="8"/>
      <c r="L16" s="8">
        <v>4.0</v>
      </c>
      <c r="M16" s="8">
        <v>1.0</v>
      </c>
      <c r="N16" s="8"/>
      <c r="O16" s="8">
        <v>2.0</v>
      </c>
      <c r="P16" s="8">
        <v>3.0</v>
      </c>
      <c r="Q16" s="8"/>
      <c r="R16" s="11"/>
      <c r="S16" s="8">
        <v>2.0</v>
      </c>
      <c r="T16" s="8"/>
      <c r="U16" s="8"/>
      <c r="V16" s="8"/>
      <c r="W16" s="8"/>
      <c r="X16" s="8"/>
      <c r="Y16" s="8">
        <v>1.0</v>
      </c>
      <c r="Z16" s="8"/>
      <c r="AA16" s="8"/>
      <c r="AB16" s="8"/>
      <c r="AC16" s="8">
        <v>1.0</v>
      </c>
      <c r="AD16" s="11"/>
      <c r="AE16" s="11"/>
      <c r="AF16" s="8">
        <v>1.0</v>
      </c>
      <c r="AG16" s="8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8"/>
      <c r="J17" s="11"/>
      <c r="K17" s="11"/>
      <c r="L17" s="11"/>
      <c r="M17" s="11"/>
      <c r="N17" s="11"/>
      <c r="O17" s="11"/>
      <c r="P17" s="11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22.0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22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ARENA APART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51" t="s">
        <v>93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455</v>
      </c>
      <c r="J30" s="28">
        <f>IFERROR(__xludf.DUMMYFUNCTION("FILTER(
  B4:B22, 
  MMULT(
    ARRAYFORMULA(
      N(C4:AG22&lt;&gt;"""") * (COLUMN(C4:AG22)&gt;=($B$25+2)) * (COLUMN(C4:AG22)&lt;=($B$26+2))
    ),
    TRANSPOSE(COLUMN(C4:AG22)^0)
  )
)"),15.0)</f>
        <v>15</v>
      </c>
      <c r="L30" s="28">
        <f t="shared" ref="L30:L41" si="2">H30*J30</f>
        <v>6825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10</v>
      </c>
      <c r="J31" s="28">
        <f>IFERROR(__xludf.DUMMYFUNCTION("""COMPUTED_VALUE"""),20.0)</f>
        <v>20</v>
      </c>
      <c r="L31" s="28">
        <f t="shared" si="2"/>
        <v>200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726</v>
      </c>
      <c r="J32" s="28">
        <f>IFERROR(__xludf.DUMMYFUNCTION("""COMPUTED_VALUE"""),9.0)</f>
        <v>9</v>
      </c>
      <c r="L32" s="28">
        <f t="shared" si="2"/>
        <v>6534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855</v>
      </c>
      <c r="J33" s="28">
        <f>IFERROR(__xludf.DUMMYFUNCTION("""COMPUTED_VALUE"""),14.0)</f>
        <v>14</v>
      </c>
      <c r="L33" s="28">
        <f t="shared" si="2"/>
        <v>11970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IFERROR(__xludf.DUMMYFUNCTION("""COMPUTED_VALUE"""),"Pike")</f>
        <v>Pike</v>
      </c>
      <c r="H34" s="1">
        <f t="shared" si="1"/>
        <v>142</v>
      </c>
      <c r="J34" s="28">
        <f>IFERROR(__xludf.DUMMYFUNCTION("""COMPUTED_VALUE"""),23.0)</f>
        <v>23</v>
      </c>
      <c r="L34" s="28">
        <f t="shared" si="2"/>
        <v>3266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IFERROR(__xludf.DUMMYFUNCTION("""COMPUTED_VALUE"""),"Alez")</f>
        <v>Alez</v>
      </c>
      <c r="H35" s="1">
        <f t="shared" si="1"/>
        <v>6</v>
      </c>
      <c r="J35" s="28">
        <f>IFERROR(__xludf.DUMMYFUNCTION("""COMPUTED_VALUE"""),25.0)</f>
        <v>25</v>
      </c>
      <c r="L35" s="28">
        <f t="shared" si="2"/>
        <v>150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IFERROR(__xludf.DUMMYFUNCTION("""COMPUTED_VALUE"""),"Yorgan")</f>
        <v>Yorgan</v>
      </c>
      <c r="H36" s="1">
        <f t="shared" si="1"/>
        <v>3</v>
      </c>
      <c r="J36" s="28">
        <f>IFERROR(__xludf.DUMMYFUNCTION("""COMPUTED_VALUE"""),55.0)</f>
        <v>55</v>
      </c>
      <c r="L36" s="28">
        <f t="shared" si="2"/>
        <v>165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29110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>
        <v>82.0</v>
      </c>
      <c r="B1" s="1" t="s">
        <v>94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15.0</v>
      </c>
      <c r="C4" s="10">
        <v>37.0</v>
      </c>
      <c r="D4" s="8">
        <v>49.0</v>
      </c>
      <c r="E4" s="8">
        <v>33.0</v>
      </c>
      <c r="F4" s="8">
        <v>36.0</v>
      </c>
      <c r="G4" s="8">
        <v>22.0</v>
      </c>
      <c r="H4" s="8">
        <v>37.0</v>
      </c>
      <c r="I4" s="8">
        <v>41.0</v>
      </c>
      <c r="J4" s="8">
        <v>67.0</v>
      </c>
      <c r="K4" s="8">
        <v>36.0</v>
      </c>
      <c r="L4" s="8">
        <v>36.0</v>
      </c>
      <c r="M4" s="8">
        <v>31.0</v>
      </c>
      <c r="N4" s="8">
        <v>24.0</v>
      </c>
      <c r="O4" s="8">
        <v>51.0</v>
      </c>
      <c r="P4" s="8">
        <v>43.0</v>
      </c>
      <c r="Q4" s="8">
        <v>73.0</v>
      </c>
      <c r="R4" s="8">
        <v>31.0</v>
      </c>
      <c r="S4" s="8">
        <v>47.0</v>
      </c>
      <c r="T4" s="8">
        <v>33.0</v>
      </c>
      <c r="U4" s="8">
        <v>40.0</v>
      </c>
      <c r="V4" s="8">
        <v>42.0</v>
      </c>
      <c r="W4" s="8">
        <v>25.0</v>
      </c>
      <c r="X4" s="8">
        <v>66.0</v>
      </c>
      <c r="Y4" s="8">
        <v>27.0</v>
      </c>
      <c r="Z4" s="8">
        <v>36.0</v>
      </c>
      <c r="AA4" s="8">
        <v>43.0</v>
      </c>
      <c r="AB4" s="8">
        <v>43.0</v>
      </c>
      <c r="AC4" s="8">
        <v>42.0</v>
      </c>
      <c r="AD4" s="8">
        <v>31.0</v>
      </c>
      <c r="AE4" s="8">
        <v>54.0</v>
      </c>
      <c r="AF4" s="8">
        <v>29.0</v>
      </c>
      <c r="AG4" s="8"/>
    </row>
    <row r="5" ht="22.5" customHeight="1">
      <c r="A5" s="8" t="s">
        <v>37</v>
      </c>
      <c r="B5" s="9">
        <v>20.0</v>
      </c>
      <c r="C5" s="10"/>
      <c r="D5" s="8"/>
      <c r="E5" s="8"/>
      <c r="F5" s="8"/>
      <c r="G5" s="8"/>
      <c r="H5" s="11"/>
      <c r="I5" s="8"/>
      <c r="J5" s="8"/>
      <c r="K5" s="8"/>
      <c r="L5" s="11"/>
      <c r="M5" s="8"/>
      <c r="N5" s="11"/>
      <c r="O5" s="8"/>
      <c r="P5" s="11"/>
      <c r="Q5" s="8"/>
      <c r="R5" s="8"/>
      <c r="S5" s="8"/>
      <c r="T5" s="8"/>
      <c r="U5" s="8">
        <v>1.0</v>
      </c>
      <c r="V5" s="8"/>
      <c r="W5" s="8"/>
      <c r="X5" s="8">
        <v>1.0</v>
      </c>
      <c r="Y5" s="8"/>
      <c r="Z5" s="8"/>
      <c r="AA5" s="8"/>
      <c r="AB5" s="8"/>
      <c r="AC5" s="8"/>
      <c r="AD5" s="8"/>
      <c r="AE5" s="11"/>
      <c r="AF5" s="11"/>
      <c r="AG5" s="11"/>
    </row>
    <row r="6" ht="22.5" customHeight="1">
      <c r="A6" s="8" t="s">
        <v>38</v>
      </c>
      <c r="B6" s="9">
        <v>9.0</v>
      </c>
      <c r="C6" s="10">
        <v>49.0</v>
      </c>
      <c r="D6" s="8">
        <v>74.0</v>
      </c>
      <c r="E6" s="8">
        <v>53.0</v>
      </c>
      <c r="F6" s="8">
        <v>62.0</v>
      </c>
      <c r="G6" s="8">
        <v>44.0</v>
      </c>
      <c r="H6" s="8">
        <v>69.0</v>
      </c>
      <c r="I6" s="8">
        <v>67.0</v>
      </c>
      <c r="J6" s="8">
        <v>42.0</v>
      </c>
      <c r="K6" s="8">
        <v>56.0</v>
      </c>
      <c r="L6" s="8">
        <v>57.0</v>
      </c>
      <c r="M6" s="8">
        <v>65.0</v>
      </c>
      <c r="N6" s="8">
        <v>35.0</v>
      </c>
      <c r="O6" s="8">
        <v>82.0</v>
      </c>
      <c r="P6" s="8">
        <v>55.0</v>
      </c>
      <c r="Q6" s="8">
        <v>72.0</v>
      </c>
      <c r="R6" s="8">
        <v>43.0</v>
      </c>
      <c r="S6" s="8">
        <v>72.0</v>
      </c>
      <c r="T6" s="8">
        <v>46.0</v>
      </c>
      <c r="U6" s="8">
        <v>66.0</v>
      </c>
      <c r="V6" s="8">
        <v>51.0</v>
      </c>
      <c r="W6" s="8">
        <v>40.0</v>
      </c>
      <c r="X6" s="8">
        <v>40.0</v>
      </c>
      <c r="Y6" s="8">
        <v>38.0</v>
      </c>
      <c r="Z6" s="8">
        <v>57.0</v>
      </c>
      <c r="AA6" s="8">
        <v>44.0</v>
      </c>
      <c r="AB6" s="8">
        <v>66.0</v>
      </c>
      <c r="AC6" s="8">
        <v>42.0</v>
      </c>
      <c r="AD6" s="8">
        <v>37.0</v>
      </c>
      <c r="AE6" s="8">
        <v>58.0</v>
      </c>
      <c r="AF6" s="8">
        <v>41.0</v>
      </c>
      <c r="AG6" s="8"/>
    </row>
    <row r="7" ht="22.5" customHeight="1">
      <c r="A7" s="8" t="s">
        <v>39</v>
      </c>
      <c r="B7" s="9">
        <v>14.0</v>
      </c>
      <c r="C7" s="10">
        <v>88.0</v>
      </c>
      <c r="D7" s="8">
        <v>100.0</v>
      </c>
      <c r="E7" s="8">
        <v>72.0</v>
      </c>
      <c r="F7" s="8">
        <v>85.0</v>
      </c>
      <c r="G7" s="8">
        <v>72.0</v>
      </c>
      <c r="H7" s="8">
        <v>100.0</v>
      </c>
      <c r="I7" s="8">
        <v>88.0</v>
      </c>
      <c r="J7" s="8">
        <v>65.0</v>
      </c>
      <c r="K7" s="8">
        <v>82.0</v>
      </c>
      <c r="L7" s="8">
        <v>66.0</v>
      </c>
      <c r="M7" s="8">
        <v>63.0</v>
      </c>
      <c r="N7" s="8">
        <v>44.0</v>
      </c>
      <c r="O7" s="8">
        <v>110.0</v>
      </c>
      <c r="P7" s="8">
        <v>88.0</v>
      </c>
      <c r="Q7" s="8">
        <v>84.0</v>
      </c>
      <c r="R7" s="8">
        <v>60.0</v>
      </c>
      <c r="S7" s="8">
        <v>96.0</v>
      </c>
      <c r="T7" s="8">
        <v>67.0</v>
      </c>
      <c r="U7" s="8">
        <v>95.0</v>
      </c>
      <c r="V7" s="8">
        <v>86.0</v>
      </c>
      <c r="W7" s="8">
        <v>53.0</v>
      </c>
      <c r="X7" s="8">
        <v>60.0</v>
      </c>
      <c r="Y7" s="8">
        <v>56.0</v>
      </c>
      <c r="Z7" s="8">
        <v>101.0</v>
      </c>
      <c r="AA7" s="8"/>
      <c r="AB7" s="8">
        <v>84.0</v>
      </c>
      <c r="AC7" s="8">
        <v>100.0</v>
      </c>
      <c r="AD7" s="8">
        <v>98.0</v>
      </c>
      <c r="AE7" s="8">
        <v>57.0</v>
      </c>
      <c r="AF7" s="8">
        <v>60.0</v>
      </c>
      <c r="AG7" s="8"/>
    </row>
    <row r="8" ht="22.5" customHeight="1">
      <c r="A8" s="8" t="s">
        <v>40</v>
      </c>
      <c r="B8" s="9">
        <v>9.1</v>
      </c>
      <c r="C8" s="14"/>
      <c r="D8" s="8"/>
      <c r="E8" s="8"/>
      <c r="F8" s="15"/>
      <c r="G8" s="8"/>
      <c r="H8" s="11"/>
      <c r="I8" s="11"/>
      <c r="J8" s="11"/>
      <c r="K8" s="8"/>
      <c r="L8" s="8"/>
      <c r="M8" s="8"/>
      <c r="N8" s="8"/>
      <c r="O8" s="11"/>
      <c r="P8" s="11"/>
      <c r="Q8" s="8"/>
      <c r="R8" s="8"/>
      <c r="S8" s="11"/>
      <c r="T8" s="11"/>
      <c r="U8" s="11"/>
      <c r="V8" s="11"/>
      <c r="W8" s="11"/>
      <c r="X8" s="11"/>
      <c r="Y8" s="11"/>
      <c r="Z8" s="8"/>
      <c r="AA8" s="11"/>
      <c r="AB8" s="11"/>
      <c r="AC8" s="11"/>
      <c r="AD8" s="11"/>
      <c r="AE8" s="11"/>
      <c r="AF8" s="8">
        <v>1.0</v>
      </c>
      <c r="AG8" s="8"/>
    </row>
    <row r="9" ht="22.5" customHeight="1">
      <c r="A9" s="8" t="s">
        <v>41</v>
      </c>
      <c r="B9" s="9">
        <v>9.1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4"/>
      <c r="D10" s="15"/>
      <c r="E10" s="15"/>
      <c r="F10" s="8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25.0</v>
      </c>
      <c r="C12" s="10"/>
      <c r="D12" s="8"/>
      <c r="E12" s="8"/>
      <c r="F12" s="8"/>
      <c r="G12" s="11"/>
      <c r="H12" s="8"/>
      <c r="I12" s="11"/>
      <c r="J12" s="11"/>
      <c r="K12" s="8"/>
      <c r="L12" s="8"/>
      <c r="M12" s="11"/>
      <c r="N12" s="11"/>
      <c r="O12" s="11"/>
      <c r="P12" s="11"/>
      <c r="Q12" s="8"/>
      <c r="R12" s="8"/>
      <c r="S12" s="8"/>
      <c r="T12" s="11"/>
      <c r="U12" s="8"/>
      <c r="V12" s="8">
        <v>3.0</v>
      </c>
      <c r="W12" s="8"/>
      <c r="X12" s="8"/>
      <c r="Y12" s="11"/>
      <c r="Z12" s="8"/>
      <c r="AA12" s="8"/>
      <c r="AB12" s="8"/>
      <c r="AC12" s="8">
        <v>2.0</v>
      </c>
      <c r="AD12" s="11"/>
      <c r="AE12" s="11"/>
      <c r="AF12" s="8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23.0</v>
      </c>
      <c r="C14" s="10">
        <v>9.0</v>
      </c>
      <c r="D14" s="8">
        <v>15.0</v>
      </c>
      <c r="E14" s="8">
        <v>15.0</v>
      </c>
      <c r="F14" s="8">
        <v>16.0</v>
      </c>
      <c r="G14" s="8">
        <v>13.0</v>
      </c>
      <c r="H14" s="8">
        <v>12.0</v>
      </c>
      <c r="I14" s="8">
        <v>18.0</v>
      </c>
      <c r="J14" s="8">
        <v>7.0</v>
      </c>
      <c r="K14" s="8">
        <v>2.0</v>
      </c>
      <c r="L14" s="8">
        <v>14.0</v>
      </c>
      <c r="M14" s="8">
        <v>7.0</v>
      </c>
      <c r="N14" s="8"/>
      <c r="O14" s="8">
        <v>23.0</v>
      </c>
      <c r="P14" s="8">
        <v>8.0</v>
      </c>
      <c r="Q14" s="8">
        <v>17.0</v>
      </c>
      <c r="R14" s="8">
        <v>7.0</v>
      </c>
      <c r="S14" s="8">
        <v>19.0</v>
      </c>
      <c r="T14" s="8">
        <v>9.0</v>
      </c>
      <c r="U14" s="8">
        <v>11.0</v>
      </c>
      <c r="V14" s="8">
        <v>13.0</v>
      </c>
      <c r="W14" s="8">
        <v>13.0</v>
      </c>
      <c r="X14" s="8">
        <v>8.0</v>
      </c>
      <c r="Y14" s="8">
        <v>9.0</v>
      </c>
      <c r="Z14" s="8">
        <v>24.0</v>
      </c>
      <c r="AA14" s="8">
        <v>10.0</v>
      </c>
      <c r="AB14" s="8">
        <v>25.0</v>
      </c>
      <c r="AC14" s="8">
        <v>8.0</v>
      </c>
      <c r="AD14" s="8">
        <v>12.0</v>
      </c>
      <c r="AE14" s="8">
        <v>11.0</v>
      </c>
      <c r="AF14" s="8">
        <v>9.0</v>
      </c>
      <c r="AG14" s="8"/>
    </row>
    <row r="15" ht="22.5" customHeight="1">
      <c r="A15" s="8" t="s">
        <v>47</v>
      </c>
      <c r="B15" s="9">
        <v>22.0</v>
      </c>
      <c r="C15" s="10"/>
      <c r="D15" s="8">
        <v>2.0</v>
      </c>
      <c r="E15" s="8">
        <v>1.0</v>
      </c>
      <c r="F15" s="8">
        <v>2.0</v>
      </c>
      <c r="G15" s="8"/>
      <c r="H15" s="8">
        <v>2.0</v>
      </c>
      <c r="I15" s="8">
        <v>1.0</v>
      </c>
      <c r="J15" s="8">
        <v>1.0</v>
      </c>
      <c r="K15" s="8">
        <v>2.0</v>
      </c>
      <c r="L15" s="8"/>
      <c r="M15" s="8">
        <v>1.0</v>
      </c>
      <c r="N15" s="8">
        <v>1.0</v>
      </c>
      <c r="O15" s="8"/>
      <c r="P15" s="8">
        <v>1.0</v>
      </c>
      <c r="Q15" s="8"/>
      <c r="R15" s="8">
        <v>1.0</v>
      </c>
      <c r="S15" s="8">
        <v>2.0</v>
      </c>
      <c r="T15" s="8">
        <v>1.0</v>
      </c>
      <c r="U15" s="8">
        <v>1.0</v>
      </c>
      <c r="V15" s="8"/>
      <c r="W15" s="8"/>
      <c r="X15" s="8"/>
      <c r="Y15" s="8">
        <v>1.0</v>
      </c>
      <c r="Z15" s="8">
        <v>1.0</v>
      </c>
      <c r="AA15" s="8">
        <v>1.0</v>
      </c>
      <c r="AB15" s="11"/>
      <c r="AC15" s="8"/>
      <c r="AD15" s="8"/>
      <c r="AE15" s="8"/>
      <c r="AF15" s="8">
        <v>1.0</v>
      </c>
      <c r="AG15" s="11"/>
    </row>
    <row r="16" ht="22.5" customHeight="1">
      <c r="A16" s="8" t="s">
        <v>48</v>
      </c>
      <c r="B16" s="9">
        <v>55.0</v>
      </c>
      <c r="C16" s="10"/>
      <c r="D16" s="8">
        <v>1.0</v>
      </c>
      <c r="E16" s="8"/>
      <c r="F16" s="8">
        <v>2.0</v>
      </c>
      <c r="G16" s="8">
        <v>2.0</v>
      </c>
      <c r="H16" s="8">
        <v>2.0</v>
      </c>
      <c r="I16" s="8">
        <v>2.0</v>
      </c>
      <c r="J16" s="8"/>
      <c r="K16" s="8">
        <v>5.0</v>
      </c>
      <c r="L16" s="8">
        <v>2.0</v>
      </c>
      <c r="M16" s="8"/>
      <c r="N16" s="8">
        <v>2.0</v>
      </c>
      <c r="O16" s="8">
        <v>1.0</v>
      </c>
      <c r="P16" s="8">
        <v>3.0</v>
      </c>
      <c r="Q16" s="8">
        <v>1.0</v>
      </c>
      <c r="R16" s="8">
        <v>3.0</v>
      </c>
      <c r="S16" s="8">
        <v>1.0</v>
      </c>
      <c r="T16" s="8"/>
      <c r="U16" s="8">
        <v>2.0</v>
      </c>
      <c r="V16" s="8">
        <v>1.0</v>
      </c>
      <c r="W16" s="8">
        <v>1.0</v>
      </c>
      <c r="X16" s="8"/>
      <c r="Y16" s="8">
        <v>1.0</v>
      </c>
      <c r="Z16" s="8">
        <v>6.0</v>
      </c>
      <c r="AA16" s="8">
        <v>2.0</v>
      </c>
      <c r="AB16" s="8">
        <v>6.0</v>
      </c>
      <c r="AC16" s="8"/>
      <c r="AD16" s="8">
        <v>1.0</v>
      </c>
      <c r="AE16" s="8"/>
      <c r="AF16" s="8"/>
      <c r="AG16" s="8"/>
    </row>
    <row r="17" ht="22.5" customHeight="1">
      <c r="A17" s="8" t="s">
        <v>49</v>
      </c>
      <c r="B17" s="9">
        <v>45.0</v>
      </c>
      <c r="C17" s="10"/>
      <c r="D17" s="8">
        <v>2.0</v>
      </c>
      <c r="E17" s="8"/>
      <c r="F17" s="15"/>
      <c r="G17" s="8">
        <v>3.0</v>
      </c>
      <c r="H17" s="8"/>
      <c r="I17" s="8"/>
      <c r="J17" s="8"/>
      <c r="K17" s="8"/>
      <c r="L17" s="8"/>
      <c r="M17" s="8"/>
      <c r="N17" s="8"/>
      <c r="O17" s="8">
        <v>1.0</v>
      </c>
      <c r="P17" s="8"/>
      <c r="Q17" s="8">
        <v>4.0</v>
      </c>
      <c r="R17" s="8">
        <v>1.0</v>
      </c>
      <c r="S17" s="8">
        <v>1.0</v>
      </c>
      <c r="T17" s="11"/>
      <c r="U17" s="8">
        <v>1.0</v>
      </c>
      <c r="V17" s="8"/>
      <c r="W17" s="8"/>
      <c r="X17" s="8"/>
      <c r="Y17" s="8">
        <v>2.0</v>
      </c>
      <c r="Z17" s="8">
        <v>3.0</v>
      </c>
      <c r="AA17" s="11"/>
      <c r="AB17" s="8">
        <v>6.0</v>
      </c>
      <c r="AC17" s="8"/>
      <c r="AD17" s="8"/>
      <c r="AE17" s="11"/>
      <c r="AF17" s="8"/>
      <c r="AG17" s="8"/>
    </row>
    <row r="18" ht="22.5" customHeight="1">
      <c r="A18" s="8" t="s">
        <v>95</v>
      </c>
      <c r="B18" s="9">
        <v>80.0</v>
      </c>
      <c r="C18" s="10"/>
      <c r="D18" s="8"/>
      <c r="E18" s="8">
        <v>2.0</v>
      </c>
      <c r="F18" s="8">
        <v>4.0</v>
      </c>
      <c r="G18" s="8">
        <v>3.0</v>
      </c>
      <c r="H18" s="8">
        <v>2.0</v>
      </c>
      <c r="I18" s="8">
        <v>1.0</v>
      </c>
      <c r="J18" s="8">
        <v>1.0</v>
      </c>
      <c r="K18" s="8"/>
      <c r="L18" s="8"/>
      <c r="M18" s="8">
        <v>9.0</v>
      </c>
      <c r="N18" s="8"/>
      <c r="O18" s="8">
        <v>5.0</v>
      </c>
      <c r="P18" s="8"/>
      <c r="Q18" s="8">
        <v>3.0</v>
      </c>
      <c r="R18" s="8"/>
      <c r="S18" s="8">
        <v>6.0</v>
      </c>
      <c r="T18" s="8">
        <v>2.0</v>
      </c>
      <c r="U18" s="8">
        <v>3.0</v>
      </c>
      <c r="V18" s="8">
        <v>3.0</v>
      </c>
      <c r="W18" s="8">
        <v>4.0</v>
      </c>
      <c r="X18" s="8"/>
      <c r="Y18" s="8">
        <v>7.0</v>
      </c>
      <c r="Z18" s="8"/>
      <c r="AA18" s="8">
        <v>6.0</v>
      </c>
      <c r="AB18" s="8">
        <v>8.0</v>
      </c>
      <c r="AC18" s="8">
        <v>3.0</v>
      </c>
      <c r="AD18" s="8">
        <v>2.0</v>
      </c>
      <c r="AE18" s="8"/>
      <c r="AF18" s="11"/>
      <c r="AG18" s="8"/>
    </row>
    <row r="19" ht="22.5" customHeight="1">
      <c r="A19" s="8" t="s">
        <v>51</v>
      </c>
      <c r="B19" s="9">
        <v>150.0</v>
      </c>
      <c r="C19" s="10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>
        <v>2.0</v>
      </c>
      <c r="T19" s="11"/>
      <c r="U19" s="11"/>
      <c r="V19" s="11"/>
      <c r="W19" s="11"/>
      <c r="X19" s="8"/>
      <c r="Y19" s="11"/>
      <c r="Z19" s="11"/>
      <c r="AA19" s="11"/>
      <c r="AB19" s="8">
        <v>3.0</v>
      </c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22.0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22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ARENA RESORT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52" t="s">
        <v>96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371</v>
      </c>
      <c r="J30" s="28">
        <f>IFERROR(__xludf.DUMMYFUNCTION("FILTER(
  B4:B22, 
  MMULT(
    ARRAYFORMULA(
      N(C4:AG22&lt;&gt;"""") * (COLUMN(C4:AG22)&gt;=($B$25+2)) * (COLUMN(C4:AG22)&lt;=($B$26+2))
    ),
    TRANSPOSE(COLUMN(C4:AG22)^0)
  )
)"),15.0)</f>
        <v>15</v>
      </c>
      <c r="L30" s="28">
        <f t="shared" ref="L30:L41" si="2">H30*J30</f>
        <v>5565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1</v>
      </c>
      <c r="J31" s="28">
        <f>IFERROR(__xludf.DUMMYFUNCTION("""COMPUTED_VALUE"""),20.0)</f>
        <v>20</v>
      </c>
      <c r="L31" s="28">
        <f t="shared" si="2"/>
        <v>20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423</v>
      </c>
      <c r="J32" s="28">
        <f>IFERROR(__xludf.DUMMYFUNCTION("""COMPUTED_VALUE"""),9.0)</f>
        <v>9</v>
      </c>
      <c r="L32" s="28">
        <f t="shared" si="2"/>
        <v>3807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616</v>
      </c>
      <c r="J33" s="28">
        <f>IFERROR(__xludf.DUMMYFUNCTION("""COMPUTED_VALUE"""),14.0)</f>
        <v>14</v>
      </c>
      <c r="L33" s="28">
        <f t="shared" si="2"/>
        <v>8624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1</v>
      </c>
      <c r="J34" s="28">
        <f>IFERROR(__xludf.DUMMYFUNCTION("""COMPUTED_VALUE"""),9.1)</f>
        <v>9.1</v>
      </c>
      <c r="L34" s="28">
        <f t="shared" si="2"/>
        <v>9.1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IFERROR(__xludf.DUMMYFUNCTION("""COMPUTED_VALUE"""),"Bornoz")</f>
        <v>Bornoz</v>
      </c>
      <c r="H35" s="1">
        <f t="shared" si="1"/>
        <v>2</v>
      </c>
      <c r="J35" s="28">
        <f>IFERROR(__xludf.DUMMYFUNCTION("""COMPUTED_VALUE"""),25.0)</f>
        <v>25</v>
      </c>
      <c r="L35" s="28">
        <f t="shared" si="2"/>
        <v>50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116</v>
      </c>
      <c r="J36" s="28">
        <f>IFERROR(__xludf.DUMMYFUNCTION("""COMPUTED_VALUE"""),23.0)</f>
        <v>23</v>
      </c>
      <c r="L36" s="28">
        <f t="shared" si="2"/>
        <v>2668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IFERROR(__xludf.DUMMYFUNCTION("""COMPUTED_VALUE"""),"Alez")</f>
        <v>Alez</v>
      </c>
      <c r="H37" s="1">
        <f t="shared" si="1"/>
        <v>4</v>
      </c>
      <c r="J37" s="28">
        <f>IFERROR(__xludf.DUMMYFUNCTION("""COMPUTED_VALUE"""),22.0)</f>
        <v>22</v>
      </c>
      <c r="L37" s="28">
        <f t="shared" si="2"/>
        <v>88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 t="str">
        <f>IFERROR(__xludf.DUMMYFUNCTION("""COMPUTED_VALUE"""),"Yorgan")</f>
        <v>Yorgan</v>
      </c>
      <c r="H38" s="1">
        <f t="shared" si="1"/>
        <v>16</v>
      </c>
      <c r="J38" s="28">
        <f>IFERROR(__xludf.DUMMYFUNCTION("""COMPUTED_VALUE"""),55.0)</f>
        <v>55</v>
      </c>
      <c r="L38" s="28">
        <f t="shared" si="2"/>
        <v>880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 t="str">
        <f>IFERROR(__xludf.DUMMYFUNCTION("""COMPUTED_VALUE"""),"Yastık")</f>
        <v>Yastık</v>
      </c>
      <c r="H39" s="1">
        <f t="shared" si="1"/>
        <v>11</v>
      </c>
      <c r="J39" s="28">
        <f>IFERROR(__xludf.DUMMYFUNCTION("""COMPUTED_VALUE"""),45.0)</f>
        <v>45</v>
      </c>
      <c r="L39" s="28">
        <f t="shared" si="2"/>
        <v>495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 t="str">
        <f>IFERROR(__xludf.DUMMYFUNCTION("""COMPUTED_VALUE"""),"Kilim")</f>
        <v>Kilim</v>
      </c>
      <c r="H40" s="1">
        <f t="shared" si="1"/>
        <v>26</v>
      </c>
      <c r="J40" s="28">
        <f>IFERROR(__xludf.DUMMYFUNCTION("""COMPUTED_VALUE"""),80.0)</f>
        <v>80</v>
      </c>
      <c r="L40" s="28">
        <f t="shared" si="2"/>
        <v>2080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 t="str">
        <f>IFERROR(__xludf.DUMMYFUNCTION("""COMPUTED_VALUE"""),"PERDE")</f>
        <v>PERDE</v>
      </c>
      <c r="H41" s="1">
        <f t="shared" si="1"/>
        <v>3</v>
      </c>
      <c r="J41" s="28">
        <f>IFERROR(__xludf.DUMMYFUNCTION("""COMPUTED_VALUE"""),150.0)</f>
        <v>150</v>
      </c>
      <c r="L41" s="28">
        <f t="shared" si="2"/>
        <v>450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22206.1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60</v>
      </c>
      <c r="B1" s="1" t="s">
        <v>97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24.0</v>
      </c>
      <c r="C4" s="10">
        <v>4.0</v>
      </c>
      <c r="D4" s="8">
        <v>5.0</v>
      </c>
      <c r="E4" s="8">
        <v>7.0</v>
      </c>
      <c r="F4" s="8">
        <v>9.0</v>
      </c>
      <c r="G4" s="8">
        <v>4.0</v>
      </c>
      <c r="H4" s="8">
        <v>4.0</v>
      </c>
      <c r="I4" s="8">
        <v>8.0</v>
      </c>
      <c r="J4" s="8">
        <v>5.0</v>
      </c>
      <c r="K4" s="8">
        <v>7.0</v>
      </c>
      <c r="L4" s="8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27.0</v>
      </c>
      <c r="C5" s="10">
        <v>4.0</v>
      </c>
      <c r="D5" s="8">
        <v>3.0</v>
      </c>
      <c r="E5" s="8">
        <v>7.0</v>
      </c>
      <c r="F5" s="8">
        <v>8.0</v>
      </c>
      <c r="G5" s="8">
        <v>5.0</v>
      </c>
      <c r="H5" s="8">
        <v>3.0</v>
      </c>
      <c r="I5" s="8">
        <v>8.0</v>
      </c>
      <c r="J5" s="8">
        <v>4.0</v>
      </c>
      <c r="K5" s="8">
        <v>5.0</v>
      </c>
      <c r="L5" s="11"/>
      <c r="M5" s="8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19.0</v>
      </c>
      <c r="C6" s="10">
        <v>13.0</v>
      </c>
      <c r="D6" s="8">
        <v>8.0</v>
      </c>
      <c r="E6" s="8">
        <v>15.0</v>
      </c>
      <c r="F6" s="8">
        <v>10.0</v>
      </c>
      <c r="G6" s="8">
        <v>13.0</v>
      </c>
      <c r="H6" s="8">
        <v>7.0</v>
      </c>
      <c r="I6" s="8">
        <v>15.0</v>
      </c>
      <c r="J6" s="8">
        <v>11.0</v>
      </c>
      <c r="K6" s="8">
        <v>18.0</v>
      </c>
      <c r="L6" s="11"/>
      <c r="M6" s="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22.0</v>
      </c>
      <c r="C7" s="10">
        <v>8.0</v>
      </c>
      <c r="D7" s="8">
        <v>7.0</v>
      </c>
      <c r="E7" s="8">
        <v>13.0</v>
      </c>
      <c r="F7" s="8">
        <v>12.0</v>
      </c>
      <c r="G7" s="8">
        <v>8.0</v>
      </c>
      <c r="H7" s="8">
        <v>3.0</v>
      </c>
      <c r="I7" s="8">
        <v>11.0</v>
      </c>
      <c r="J7" s="8">
        <v>5.0</v>
      </c>
      <c r="K7" s="8">
        <v>9.0</v>
      </c>
      <c r="L7" s="11"/>
      <c r="M7" s="8"/>
      <c r="N7" s="8"/>
      <c r="O7" s="8"/>
      <c r="P7" s="11"/>
      <c r="Q7" s="8"/>
      <c r="R7" s="11"/>
      <c r="S7" s="8"/>
      <c r="T7" s="11"/>
      <c r="U7" s="11"/>
      <c r="V7" s="8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19.0</v>
      </c>
      <c r="C8" s="10">
        <v>9.0</v>
      </c>
      <c r="D8" s="8">
        <v>12.0</v>
      </c>
      <c r="E8" s="8">
        <v>13.0</v>
      </c>
      <c r="F8" s="8">
        <v>22.0</v>
      </c>
      <c r="G8" s="8">
        <v>16.0</v>
      </c>
      <c r="H8" s="8">
        <v>11.0</v>
      </c>
      <c r="I8" s="8">
        <v>18.0</v>
      </c>
      <c r="J8" s="8">
        <v>12.0</v>
      </c>
      <c r="K8" s="8">
        <v>11.0</v>
      </c>
      <c r="L8" s="11"/>
      <c r="M8" s="8"/>
      <c r="N8" s="8"/>
      <c r="O8" s="11"/>
      <c r="P8" s="11"/>
      <c r="Q8" s="11"/>
      <c r="R8" s="11"/>
      <c r="S8" s="8"/>
      <c r="T8" s="11"/>
      <c r="U8" s="11"/>
      <c r="V8" s="8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19.0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19.0</v>
      </c>
      <c r="C10" s="10">
        <v>3.0</v>
      </c>
      <c r="D10" s="8">
        <v>2.0</v>
      </c>
      <c r="E10" s="8">
        <v>5.0</v>
      </c>
      <c r="F10" s="8">
        <v>7.0</v>
      </c>
      <c r="G10" s="8">
        <v>5.0</v>
      </c>
      <c r="H10" s="8">
        <v>3.0</v>
      </c>
      <c r="I10" s="8">
        <v>5.0</v>
      </c>
      <c r="J10" s="8">
        <v>2.0</v>
      </c>
      <c r="K10" s="8">
        <v>3.0</v>
      </c>
      <c r="L10" s="11"/>
      <c r="M10" s="8"/>
      <c r="N10" s="8"/>
      <c r="O10" s="11"/>
      <c r="P10" s="11"/>
      <c r="Q10" s="11"/>
      <c r="R10" s="11"/>
      <c r="S10" s="8"/>
      <c r="T10" s="11"/>
      <c r="U10" s="11"/>
      <c r="V10" s="8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45.0</v>
      </c>
      <c r="C12" s="10">
        <v>3.0</v>
      </c>
      <c r="D12" s="8">
        <v>3.0</v>
      </c>
      <c r="E12" s="8"/>
      <c r="F12" s="8">
        <v>8.0</v>
      </c>
      <c r="G12" s="8">
        <v>4.0</v>
      </c>
      <c r="H12" s="8">
        <v>5.0</v>
      </c>
      <c r="I12" s="8">
        <v>6.0</v>
      </c>
      <c r="J12" s="8">
        <v>4.0</v>
      </c>
      <c r="K12" s="8">
        <v>3.0</v>
      </c>
      <c r="L12" s="11"/>
      <c r="M12" s="8"/>
      <c r="N12" s="8"/>
      <c r="O12" s="11"/>
      <c r="P12" s="11"/>
      <c r="Q12" s="11"/>
      <c r="R12" s="11"/>
      <c r="S12" s="8"/>
      <c r="T12" s="11"/>
      <c r="U12" s="11"/>
      <c r="V12" s="8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15.0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35.0</v>
      </c>
      <c r="C14" s="14"/>
      <c r="D14" s="8"/>
      <c r="E14" s="8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8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54.0</v>
      </c>
      <c r="C15" s="10"/>
      <c r="D15" s="8"/>
      <c r="E15" s="8"/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8"/>
      <c r="T15" s="11"/>
      <c r="U15" s="11"/>
      <c r="V15" s="8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148.0</v>
      </c>
      <c r="C16" s="10"/>
      <c r="D16" s="8"/>
      <c r="E16" s="8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8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61.0</v>
      </c>
      <c r="C17" s="10"/>
      <c r="D17" s="8"/>
      <c r="E17" s="8"/>
      <c r="F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11"/>
      <c r="U17" s="11"/>
      <c r="V17" s="8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50</v>
      </c>
      <c r="B18" s="9">
        <v>50.0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98</v>
      </c>
      <c r="B20" s="9">
        <v>2000.0</v>
      </c>
      <c r="C20" s="14"/>
      <c r="D20" s="8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tr">
        <f>B1</f>
        <v>UNIVERSO TOUR TURİZM TİCARET LTD
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49">
        <v>8.92033547E9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53</v>
      </c>
      <c r="J30" s="28">
        <f>IFERROR(__xludf.DUMMYFUNCTION("FILTER(
  B4:B22, 
  MMULT(
    ARRAYFORMULA(
      N(C4:AG22&lt;&gt;"""") * (COLUMN(C4:AG22)&gt;=($B$25+2)) * (COLUMN(C4:AG22)&lt;=($B$26+2))
    ),
    TRANSPOSE(COLUMN(C4:AG22)^0)
  )
)"),24.0)</f>
        <v>24</v>
      </c>
      <c r="L30" s="28">
        <f t="shared" ref="L30:L41" si="2">H30*J30</f>
        <v>1272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47</v>
      </c>
      <c r="J31" s="28">
        <f>IFERROR(__xludf.DUMMYFUNCTION("""COMPUTED_VALUE"""),27.0)</f>
        <v>27</v>
      </c>
      <c r="L31" s="28">
        <f t="shared" si="2"/>
        <v>1269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110</v>
      </c>
      <c r="J32" s="28">
        <f>IFERROR(__xludf.DUMMYFUNCTION("""COMPUTED_VALUE"""),19.0)</f>
        <v>19</v>
      </c>
      <c r="L32" s="28">
        <f t="shared" si="2"/>
        <v>2090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76</v>
      </c>
      <c r="J33" s="28">
        <f>IFERROR(__xludf.DUMMYFUNCTION("""COMPUTED_VALUE"""),22.0)</f>
        <v>22</v>
      </c>
      <c r="L33" s="28">
        <f t="shared" si="2"/>
        <v>1672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124</v>
      </c>
      <c r="J34" s="28">
        <f>IFERROR(__xludf.DUMMYFUNCTION("""COMPUTED_VALUE"""),19.0)</f>
        <v>19</v>
      </c>
      <c r="L34" s="28">
        <f t="shared" si="2"/>
        <v>2356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35</v>
      </c>
      <c r="J35" s="28">
        <f>IFERROR(__xludf.DUMMYFUNCTION("""COMPUTED_VALUE"""),19.0)</f>
        <v>19</v>
      </c>
      <c r="L35" s="28">
        <f t="shared" si="2"/>
        <v>665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IFERROR(__xludf.DUMMYFUNCTION("""COMPUTED_VALUE"""),"Bornoz")</f>
        <v>Bornoz</v>
      </c>
      <c r="H36" s="1">
        <f t="shared" si="1"/>
        <v>36</v>
      </c>
      <c r="J36" s="28">
        <f>IFERROR(__xludf.DUMMYFUNCTION("""COMPUTED_VALUE"""),45.0)</f>
        <v>45</v>
      </c>
      <c r="L36" s="28">
        <f t="shared" si="2"/>
        <v>1620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10944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60</v>
      </c>
      <c r="B1" s="1" t="s">
        <v>99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11.0</v>
      </c>
      <c r="C4" s="14"/>
      <c r="D4" s="8"/>
      <c r="E4" s="8"/>
      <c r="F4" s="8"/>
      <c r="G4" s="8"/>
      <c r="H4" s="11"/>
      <c r="I4" s="11"/>
      <c r="J4" s="11"/>
      <c r="K4" s="8"/>
      <c r="L4" s="11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16.0</v>
      </c>
      <c r="C5" s="14"/>
      <c r="D5" s="8"/>
      <c r="E5" s="8"/>
      <c r="F5" s="1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6.0</v>
      </c>
      <c r="C6" s="14"/>
      <c r="D6" s="15"/>
      <c r="E6" s="15"/>
      <c r="F6" s="15"/>
      <c r="G6" s="8"/>
      <c r="H6" s="11"/>
      <c r="I6" s="8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25.0</v>
      </c>
      <c r="C7" s="10"/>
      <c r="D7" s="8"/>
      <c r="E7" s="8"/>
      <c r="F7" s="15"/>
      <c r="G7" s="11"/>
      <c r="H7" s="8"/>
      <c r="I7" s="11"/>
      <c r="J7" s="11"/>
      <c r="K7" s="8"/>
      <c r="L7" s="11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9.1</v>
      </c>
      <c r="C8" s="14"/>
      <c r="D8" s="15"/>
      <c r="E8" s="15"/>
      <c r="F8" s="15"/>
      <c r="G8" s="8"/>
      <c r="H8" s="11"/>
      <c r="I8" s="11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9.1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19.0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18.6</v>
      </c>
      <c r="C14" s="14"/>
      <c r="D14" s="15"/>
      <c r="E14" s="15"/>
      <c r="F14" s="15"/>
      <c r="G14" s="11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16.0</v>
      </c>
      <c r="C15" s="14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45.0</v>
      </c>
      <c r="C16" s="14"/>
      <c r="D16" s="15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95</v>
      </c>
      <c r="B18" s="9">
        <v>70.0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- 7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7.0</v>
      </c>
      <c r="C26" s="2"/>
      <c r="D26" s="2"/>
      <c r="E26" s="22" t="s">
        <v>60</v>
      </c>
      <c r="F26" s="19"/>
      <c r="G26" s="20"/>
      <c r="H26" s="23" t="str">
        <f>B1</f>
        <v>ART KUAFOR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52" t="s">
        <v>100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 t="s">
        <v>60</v>
      </c>
      <c r="B1" s="1" t="s">
        <v>101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23.0</v>
      </c>
      <c r="C4" s="10">
        <v>9.0</v>
      </c>
      <c r="D4" s="8">
        <v>5.0</v>
      </c>
      <c r="E4" s="8">
        <v>12.0</v>
      </c>
      <c r="F4" s="8">
        <v>14.0</v>
      </c>
      <c r="G4" s="8">
        <v>9.0</v>
      </c>
      <c r="H4" s="8">
        <v>10.0</v>
      </c>
      <c r="I4" s="8">
        <v>8.0</v>
      </c>
      <c r="J4" s="8">
        <v>14.0</v>
      </c>
      <c r="K4" s="8">
        <v>16.0</v>
      </c>
      <c r="L4" s="8">
        <v>11.0</v>
      </c>
      <c r="M4" s="8">
        <v>13.0</v>
      </c>
      <c r="N4" s="8">
        <v>12.0</v>
      </c>
      <c r="O4" s="8">
        <v>8.0</v>
      </c>
      <c r="P4" s="8">
        <v>14.0</v>
      </c>
      <c r="Q4" s="8">
        <v>13.0</v>
      </c>
      <c r="R4" s="8">
        <v>9.0</v>
      </c>
      <c r="S4" s="8">
        <v>10.0</v>
      </c>
      <c r="T4" s="8">
        <v>8.0</v>
      </c>
      <c r="U4" s="8">
        <v>9.0</v>
      </c>
      <c r="V4" s="8">
        <v>6.0</v>
      </c>
      <c r="W4" s="8">
        <v>6.0</v>
      </c>
      <c r="X4" s="8">
        <v>7.0</v>
      </c>
      <c r="Y4" s="8">
        <v>6.0</v>
      </c>
      <c r="Z4" s="8">
        <v>5.0</v>
      </c>
      <c r="AA4" s="8">
        <v>9.0</v>
      </c>
      <c r="AB4" s="8"/>
      <c r="AC4" s="8"/>
      <c r="AD4" s="8"/>
      <c r="AE4" s="8"/>
      <c r="AF4" s="11"/>
      <c r="AG4" s="11"/>
    </row>
    <row r="5" ht="22.5" customHeight="1">
      <c r="A5" s="8" t="s">
        <v>37</v>
      </c>
      <c r="B5" s="9">
        <v>34.0</v>
      </c>
      <c r="C5" s="10">
        <v>10.0</v>
      </c>
      <c r="D5" s="8">
        <v>7.0</v>
      </c>
      <c r="E5" s="8">
        <v>10.0</v>
      </c>
      <c r="F5" s="8">
        <v>20.0</v>
      </c>
      <c r="G5" s="8">
        <v>4.0</v>
      </c>
      <c r="H5" s="8">
        <v>6.0</v>
      </c>
      <c r="I5" s="8">
        <v>10.0</v>
      </c>
      <c r="J5" s="8">
        <v>10.0</v>
      </c>
      <c r="K5" s="8">
        <v>17.0</v>
      </c>
      <c r="L5" s="8">
        <v>12.0</v>
      </c>
      <c r="M5" s="8">
        <v>15.0</v>
      </c>
      <c r="N5" s="8">
        <v>13.0</v>
      </c>
      <c r="O5" s="8">
        <v>9.0</v>
      </c>
      <c r="P5" s="8">
        <v>18.0</v>
      </c>
      <c r="Q5" s="8">
        <v>11.0</v>
      </c>
      <c r="R5" s="8">
        <v>8.0</v>
      </c>
      <c r="S5" s="8">
        <v>12.0</v>
      </c>
      <c r="T5" s="8">
        <v>7.0</v>
      </c>
      <c r="U5" s="8">
        <v>8.0</v>
      </c>
      <c r="V5" s="8">
        <v>6.0</v>
      </c>
      <c r="W5" s="8">
        <v>6.0</v>
      </c>
      <c r="X5" s="8">
        <v>8.0</v>
      </c>
      <c r="Y5" s="8">
        <v>4.0</v>
      </c>
      <c r="Z5" s="8">
        <v>8.0</v>
      </c>
      <c r="AA5" s="8">
        <v>9.0</v>
      </c>
      <c r="AB5" s="8"/>
      <c r="AC5" s="11"/>
      <c r="AD5" s="8"/>
      <c r="AE5" s="8"/>
      <c r="AF5" s="11"/>
      <c r="AG5" s="11"/>
    </row>
    <row r="6" ht="22.5" customHeight="1">
      <c r="A6" s="8" t="s">
        <v>38</v>
      </c>
      <c r="B6" s="9">
        <v>12.0</v>
      </c>
      <c r="C6" s="10">
        <v>11.0</v>
      </c>
      <c r="D6" s="8">
        <v>10.0</v>
      </c>
      <c r="E6" s="8">
        <v>18.0</v>
      </c>
      <c r="F6" s="8">
        <v>15.0</v>
      </c>
      <c r="G6" s="8">
        <v>6.0</v>
      </c>
      <c r="H6" s="8">
        <v>21.0</v>
      </c>
      <c r="I6" s="8">
        <v>23.0</v>
      </c>
      <c r="J6" s="8">
        <v>26.0</v>
      </c>
      <c r="K6" s="8">
        <v>20.0</v>
      </c>
      <c r="L6" s="8">
        <v>25.0</v>
      </c>
      <c r="M6" s="8">
        <v>25.0</v>
      </c>
      <c r="N6" s="8">
        <v>31.0</v>
      </c>
      <c r="O6" s="8">
        <v>18.0</v>
      </c>
      <c r="P6" s="8">
        <v>31.0</v>
      </c>
      <c r="Q6" s="8">
        <v>20.0</v>
      </c>
      <c r="R6" s="8">
        <v>20.0</v>
      </c>
      <c r="S6" s="8">
        <v>16.0</v>
      </c>
      <c r="T6" s="8">
        <v>21.0</v>
      </c>
      <c r="U6" s="8">
        <v>17.0</v>
      </c>
      <c r="V6" s="8">
        <v>14.0</v>
      </c>
      <c r="W6" s="8">
        <v>10.0</v>
      </c>
      <c r="X6" s="8">
        <v>15.0</v>
      </c>
      <c r="Y6" s="8">
        <v>12.0</v>
      </c>
      <c r="Z6" s="8">
        <v>14.0</v>
      </c>
      <c r="AA6" s="8">
        <v>31.0</v>
      </c>
      <c r="AB6" s="8"/>
      <c r="AC6" s="8"/>
      <c r="AD6" s="8"/>
      <c r="AE6" s="8"/>
      <c r="AF6" s="11"/>
      <c r="AG6" s="11"/>
    </row>
    <row r="7" ht="22.5" customHeight="1">
      <c r="A7" s="8" t="s">
        <v>39</v>
      </c>
      <c r="B7" s="9">
        <v>23.0</v>
      </c>
      <c r="C7" s="10">
        <v>13.0</v>
      </c>
      <c r="D7" s="8">
        <v>11.0</v>
      </c>
      <c r="E7" s="8">
        <v>28.0</v>
      </c>
      <c r="F7" s="8">
        <v>31.0</v>
      </c>
      <c r="G7" s="8">
        <v>19.0</v>
      </c>
      <c r="H7" s="8">
        <v>14.0</v>
      </c>
      <c r="I7" s="8">
        <v>10.0</v>
      </c>
      <c r="J7" s="8">
        <v>24.0</v>
      </c>
      <c r="K7" s="8">
        <v>25.0</v>
      </c>
      <c r="L7" s="8">
        <v>16.0</v>
      </c>
      <c r="M7" s="8">
        <v>27.0</v>
      </c>
      <c r="N7" s="8">
        <v>14.0</v>
      </c>
      <c r="O7" s="8">
        <v>17.0</v>
      </c>
      <c r="P7" s="8">
        <v>24.0</v>
      </c>
      <c r="Q7" s="8">
        <v>24.0</v>
      </c>
      <c r="R7" s="8">
        <v>23.0</v>
      </c>
      <c r="S7" s="8">
        <v>15.0</v>
      </c>
      <c r="T7" s="8">
        <v>18.0</v>
      </c>
      <c r="U7" s="8">
        <v>12.0</v>
      </c>
      <c r="V7" s="8">
        <v>10.0</v>
      </c>
      <c r="W7" s="8">
        <v>8.0</v>
      </c>
      <c r="X7" s="8">
        <v>11.0</v>
      </c>
      <c r="Y7" s="8">
        <v>12.0</v>
      </c>
      <c r="Z7" s="8">
        <v>8.0</v>
      </c>
      <c r="AA7" s="8">
        <v>14.0</v>
      </c>
      <c r="AB7" s="8"/>
      <c r="AC7" s="8"/>
      <c r="AD7" s="8"/>
      <c r="AE7" s="8"/>
      <c r="AF7" s="11"/>
      <c r="AG7" s="11"/>
    </row>
    <row r="8" ht="22.5" customHeight="1">
      <c r="A8" s="8" t="s">
        <v>40</v>
      </c>
      <c r="B8" s="9">
        <v>12.0</v>
      </c>
      <c r="C8" s="10">
        <v>17.0</v>
      </c>
      <c r="D8" s="8">
        <v>17.0</v>
      </c>
      <c r="E8" s="8">
        <v>26.0</v>
      </c>
      <c r="F8" s="8">
        <v>32.0</v>
      </c>
      <c r="G8" s="8">
        <v>22.0</v>
      </c>
      <c r="H8" s="8">
        <v>7.0</v>
      </c>
      <c r="I8" s="8">
        <v>11.0</v>
      </c>
      <c r="J8" s="8">
        <v>25.0</v>
      </c>
      <c r="K8" s="8">
        <v>15.0</v>
      </c>
      <c r="L8" s="8">
        <v>14.0</v>
      </c>
      <c r="M8" s="8">
        <v>20.0</v>
      </c>
      <c r="N8" s="8">
        <v>17.0</v>
      </c>
      <c r="O8" s="8">
        <v>12.0</v>
      </c>
      <c r="P8" s="8">
        <v>24.0</v>
      </c>
      <c r="Q8" s="8">
        <v>18.0</v>
      </c>
      <c r="R8" s="8">
        <v>18.0</v>
      </c>
      <c r="S8" s="8">
        <v>26.0</v>
      </c>
      <c r="T8" s="8">
        <v>16.0</v>
      </c>
      <c r="U8" s="8">
        <v>17.0</v>
      </c>
      <c r="V8" s="8">
        <v>10.0</v>
      </c>
      <c r="W8" s="8">
        <v>7.0</v>
      </c>
      <c r="X8" s="8">
        <v>10.0</v>
      </c>
      <c r="Y8" s="8">
        <v>10.0</v>
      </c>
      <c r="Z8" s="8">
        <v>9.0</v>
      </c>
      <c r="AA8" s="8">
        <v>22.0</v>
      </c>
      <c r="AB8" s="8"/>
      <c r="AC8" s="8"/>
      <c r="AD8" s="8"/>
      <c r="AE8" s="8"/>
      <c r="AF8" s="11"/>
      <c r="AG8" s="11"/>
    </row>
    <row r="9" ht="22.5" customHeight="1">
      <c r="A9" s="8" t="s">
        <v>42</v>
      </c>
      <c r="B9" s="9">
        <v>12.0</v>
      </c>
      <c r="C9" s="10">
        <v>5.0</v>
      </c>
      <c r="D9" s="8">
        <v>5.0</v>
      </c>
      <c r="E9" s="8">
        <v>14.0</v>
      </c>
      <c r="F9" s="8">
        <v>13.0</v>
      </c>
      <c r="G9" s="8">
        <v>12.0</v>
      </c>
      <c r="H9" s="8">
        <v>7.0</v>
      </c>
      <c r="I9" s="8">
        <v>6.0</v>
      </c>
      <c r="J9" s="8">
        <v>15.0</v>
      </c>
      <c r="K9" s="8">
        <v>14.0</v>
      </c>
      <c r="L9" s="8">
        <v>11.0</v>
      </c>
      <c r="M9" s="8">
        <v>15.0</v>
      </c>
      <c r="N9" s="8">
        <v>10.0</v>
      </c>
      <c r="O9" s="8">
        <v>10.0</v>
      </c>
      <c r="P9" s="8">
        <v>15.0</v>
      </c>
      <c r="Q9" s="8">
        <v>11.0</v>
      </c>
      <c r="R9" s="8">
        <v>15.0</v>
      </c>
      <c r="S9" s="8">
        <v>7.0</v>
      </c>
      <c r="T9" s="8">
        <v>6.0</v>
      </c>
      <c r="U9" s="8">
        <v>7.0</v>
      </c>
      <c r="V9" s="8">
        <v>4.0</v>
      </c>
      <c r="W9" s="8">
        <v>4.0</v>
      </c>
      <c r="X9" s="8">
        <v>7.0</v>
      </c>
      <c r="Y9" s="8">
        <v>8.0</v>
      </c>
      <c r="Z9" s="8">
        <v>4.0</v>
      </c>
      <c r="AA9" s="8">
        <v>3.0</v>
      </c>
      <c r="AB9" s="8"/>
      <c r="AC9" s="8"/>
      <c r="AD9" s="8"/>
      <c r="AE9" s="8"/>
      <c r="AF9" s="11"/>
      <c r="AG9" s="11"/>
    </row>
    <row r="10" ht="22.5" customHeight="1">
      <c r="A10" s="8"/>
      <c r="B10" s="9"/>
      <c r="C10" s="14"/>
      <c r="D10" s="8"/>
      <c r="E10" s="15"/>
      <c r="F10" s="15"/>
      <c r="G10" s="11"/>
      <c r="H10" s="11"/>
      <c r="I10" s="8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19.0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25.0</v>
      </c>
      <c r="C14" s="10"/>
      <c r="D14" s="8"/>
      <c r="E14" s="8">
        <v>2.0</v>
      </c>
      <c r="F14" s="8"/>
      <c r="G14" s="8"/>
      <c r="H14" s="8"/>
      <c r="I14" s="8"/>
      <c r="J14" s="8"/>
      <c r="K14" s="8"/>
      <c r="L14" s="8"/>
      <c r="M14" s="8"/>
      <c r="N14" s="8">
        <v>2.0</v>
      </c>
      <c r="O14" s="8"/>
      <c r="P14" s="8"/>
      <c r="Q14" s="8"/>
      <c r="R14" s="8">
        <v>1.0</v>
      </c>
      <c r="S14" s="8"/>
      <c r="T14" s="8"/>
      <c r="U14" s="8"/>
      <c r="V14" s="8"/>
      <c r="W14" s="8"/>
      <c r="X14" s="8"/>
      <c r="Y14" s="8">
        <v>1.0</v>
      </c>
      <c r="Z14" s="8"/>
      <c r="AA14" s="8"/>
      <c r="AB14" s="8"/>
      <c r="AC14" s="11"/>
      <c r="AD14" s="8"/>
      <c r="AE14" s="8"/>
      <c r="AF14" s="11"/>
      <c r="AG14" s="11"/>
    </row>
    <row r="15" ht="22.5" customHeight="1">
      <c r="A15" s="8" t="s">
        <v>47</v>
      </c>
      <c r="B15" s="9">
        <v>16.0</v>
      </c>
      <c r="C15" s="10"/>
      <c r="D15" s="15"/>
      <c r="E15" s="8"/>
      <c r="F15" s="15"/>
      <c r="G15" s="11"/>
      <c r="H15" s="8"/>
      <c r="I15" s="11"/>
      <c r="J15" s="8">
        <v>1.0</v>
      </c>
      <c r="K15" s="8">
        <v>1.0</v>
      </c>
      <c r="L15" s="11"/>
      <c r="M15" s="8"/>
      <c r="N15" s="8">
        <v>1.0</v>
      </c>
      <c r="O15" s="8"/>
      <c r="P15" s="8"/>
      <c r="Q15" s="8"/>
      <c r="R15" s="11"/>
      <c r="S15" s="11"/>
      <c r="T15" s="11"/>
      <c r="U15" s="11"/>
      <c r="V15" s="11"/>
      <c r="W15" s="11"/>
      <c r="X15" s="11"/>
      <c r="Y15" s="8"/>
      <c r="Z15" s="11"/>
      <c r="AA15" s="8">
        <v>1.0</v>
      </c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60.0</v>
      </c>
      <c r="C16" s="10"/>
      <c r="D16" s="8"/>
      <c r="E16" s="15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>
        <v>11.0</v>
      </c>
      <c r="R16" s="11"/>
      <c r="S16" s="11"/>
      <c r="T16" s="11"/>
      <c r="U16" s="11"/>
      <c r="V16" s="11"/>
      <c r="W16" s="11"/>
      <c r="X16" s="11"/>
      <c r="Y16" s="8">
        <v>1.0</v>
      </c>
      <c r="Z16" s="8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45.0</v>
      </c>
      <c r="C17" s="14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/>
      <c r="R17" s="11"/>
      <c r="S17" s="11"/>
      <c r="T17" s="11"/>
      <c r="U17" s="11"/>
      <c r="V17" s="11"/>
      <c r="W17" s="11"/>
      <c r="X17" s="8">
        <v>1.0</v>
      </c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95</v>
      </c>
      <c r="B18" s="9">
        <v>70.0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51</v>
      </c>
      <c r="B19" s="9">
        <v>250.0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- 31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31.0</v>
      </c>
      <c r="C26" s="2"/>
      <c r="D26" s="2"/>
      <c r="E26" s="22" t="s">
        <v>60</v>
      </c>
      <c r="F26" s="19"/>
      <c r="G26" s="20"/>
      <c r="H26" s="23" t="s">
        <v>102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52" t="s">
        <v>103</v>
      </c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)"),"Çarşaf")</f>
        <v>Çarşaf</v>
      </c>
      <c r="H30" s="1">
        <f t="shared" ref="H30:H41" si="1">IF(ISBLANK(E30), "", 
  SUMPRODUCT(
    (TRIM($A$4:$A$22) = TRIM(E30)) * (COLUMN($C$4:$AG$22) &gt;= $B$25 + 2) * (COLUMN($C$4:$AG$22) &lt;= $B$26 + 2) * VALUE($C$4:$AG$22)
  )
)</f>
        <v>243</v>
      </c>
      <c r="J30" s="28">
        <f>IFERROR(__xludf.DUMMYFUNCTION("FILTER(
  B4:B22, 
  MMULT(
    ARRAYFORMULA(
      N(C4:AG22&lt;&gt;"""") * (COLUMN(C4:AG22)&gt;=($B$25+2)) * (COLUMN(C4:AG22)&lt;=($B$26+2))
    ),
    TRANSPOSE(COLUMN(C4:AG22)^0)
  )
)"),23.0)</f>
        <v>23</v>
      </c>
      <c r="L30" s="28">
        <f t="shared" ref="L30:L41" si="2">H30*J30</f>
        <v>5589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 t="str">
        <f>IFERROR(__xludf.DUMMYFUNCTION("""COMPUTED_VALUE"""),"Nevresim")</f>
        <v>Nevresim</v>
      </c>
      <c r="H31" s="1">
        <f t="shared" si="1"/>
        <v>248</v>
      </c>
      <c r="J31" s="28">
        <f>IFERROR(__xludf.DUMMYFUNCTION("""COMPUTED_VALUE"""),34.0)</f>
        <v>34</v>
      </c>
      <c r="L31" s="28">
        <f t="shared" si="2"/>
        <v>8432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 t="str">
        <f>IFERROR(__xludf.DUMMYFUNCTION("""COMPUTED_VALUE"""),"Yastık Kılıfı")</f>
        <v>Yastık Kılıfı</v>
      </c>
      <c r="H32" s="1">
        <f t="shared" si="1"/>
        <v>470</v>
      </c>
      <c r="J32" s="28">
        <f>IFERROR(__xludf.DUMMYFUNCTION("""COMPUTED_VALUE"""),12.0)</f>
        <v>12</v>
      </c>
      <c r="L32" s="28">
        <f t="shared" si="2"/>
        <v>5640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 t="str">
        <f>IFERROR(__xludf.DUMMYFUNCTION("""COMPUTED_VALUE"""),"Büyük Havlu")</f>
        <v>Büyük Havlu</v>
      </c>
      <c r="H33" s="1">
        <f t="shared" si="1"/>
        <v>428</v>
      </c>
      <c r="J33" s="28">
        <f>IFERROR(__xludf.DUMMYFUNCTION("""COMPUTED_VALUE"""),23.0)</f>
        <v>23</v>
      </c>
      <c r="L33" s="28">
        <f t="shared" si="2"/>
        <v>9844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 t="str">
        <f>IFERROR(__xludf.DUMMYFUNCTION("""COMPUTED_VALUE"""),"Küçük Havlu")</f>
        <v>Küçük Havlu</v>
      </c>
      <c r="H34" s="1">
        <f t="shared" si="1"/>
        <v>422</v>
      </c>
      <c r="J34" s="28">
        <f>IFERROR(__xludf.DUMMYFUNCTION("""COMPUTED_VALUE"""),12.0)</f>
        <v>12</v>
      </c>
      <c r="L34" s="28">
        <f t="shared" si="2"/>
        <v>5064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 t="str">
        <f>IFERROR(__xludf.DUMMYFUNCTION("""COMPUTED_VALUE"""),"Ayak Havlusu")</f>
        <v>Ayak Havlusu</v>
      </c>
      <c r="H35" s="1">
        <f t="shared" si="1"/>
        <v>228</v>
      </c>
      <c r="J35" s="28">
        <f>IFERROR(__xludf.DUMMYFUNCTION("""COMPUTED_VALUE"""),12.0)</f>
        <v>12</v>
      </c>
      <c r="L35" s="28">
        <f t="shared" si="2"/>
        <v>2736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 t="str">
        <f>IFERROR(__xludf.DUMMYFUNCTION("""COMPUTED_VALUE"""),"Pike")</f>
        <v>Pike</v>
      </c>
      <c r="H36" s="1">
        <f t="shared" si="1"/>
        <v>6</v>
      </c>
      <c r="J36" s="28">
        <f>IFERROR(__xludf.DUMMYFUNCTION("""COMPUTED_VALUE"""),25.0)</f>
        <v>25</v>
      </c>
      <c r="L36" s="28">
        <f t="shared" si="2"/>
        <v>150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 t="str">
        <f>IFERROR(__xludf.DUMMYFUNCTION("""COMPUTED_VALUE"""),"Alez")</f>
        <v>Alez</v>
      </c>
      <c r="H37" s="1">
        <f t="shared" si="1"/>
        <v>4</v>
      </c>
      <c r="J37" s="28">
        <f>IFERROR(__xludf.DUMMYFUNCTION("""COMPUTED_VALUE"""),16.0)</f>
        <v>16</v>
      </c>
      <c r="L37" s="28">
        <f t="shared" si="2"/>
        <v>64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 t="str">
        <f>IFERROR(__xludf.DUMMYFUNCTION("""COMPUTED_VALUE"""),"Yorgan")</f>
        <v>Yorgan</v>
      </c>
      <c r="H38" s="1">
        <f t="shared" si="1"/>
        <v>12</v>
      </c>
      <c r="J38" s="28">
        <f>IFERROR(__xludf.DUMMYFUNCTION("""COMPUTED_VALUE"""),60.0)</f>
        <v>60</v>
      </c>
      <c r="L38" s="28">
        <f t="shared" si="2"/>
        <v>720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 t="str">
        <f>IFERROR(__xludf.DUMMYFUNCTION("""COMPUTED_VALUE"""),"Yastık")</f>
        <v>Yastık</v>
      </c>
      <c r="H39" s="1">
        <f t="shared" si="1"/>
        <v>1</v>
      </c>
      <c r="J39" s="28">
        <f>IFERROR(__xludf.DUMMYFUNCTION("""COMPUTED_VALUE"""),45.0)</f>
        <v>45</v>
      </c>
      <c r="L39" s="28">
        <f t="shared" si="2"/>
        <v>45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3">
        <f>SUM(L30:M39)</f>
        <v>38284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2.75"/>
    <col customWidth="1" min="3" max="11" width="5.63"/>
    <col customWidth="1" min="12" max="12" width="6.5"/>
    <col customWidth="1" min="13" max="13" width="7.5"/>
    <col customWidth="1" min="14" max="33" width="5.63"/>
  </cols>
  <sheetData>
    <row r="1">
      <c r="A1" s="1"/>
      <c r="B1" s="1" t="s">
        <v>104</v>
      </c>
      <c r="D1" s="2"/>
      <c r="E1" s="2"/>
      <c r="F1" s="3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2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</row>
    <row r="4" ht="22.5" customHeight="1">
      <c r="A4" s="8" t="s">
        <v>36</v>
      </c>
      <c r="B4" s="9">
        <v>26.0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11"/>
      <c r="O4" s="11"/>
      <c r="P4" s="11"/>
      <c r="Q4" s="11"/>
      <c r="R4" s="11"/>
      <c r="S4" s="11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22.5" customHeight="1">
      <c r="A5" s="8" t="s">
        <v>37</v>
      </c>
      <c r="B5" s="9">
        <v>31.0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11"/>
      <c r="O5" s="11"/>
      <c r="P5" s="11"/>
      <c r="Q5" s="11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22.5" customHeight="1">
      <c r="A6" s="8" t="s">
        <v>38</v>
      </c>
      <c r="B6" s="9">
        <v>15.0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22.5" customHeight="1">
      <c r="A7" s="8" t="s">
        <v>39</v>
      </c>
      <c r="B7" s="9">
        <v>20.0</v>
      </c>
      <c r="C7" s="10"/>
      <c r="D7" s="15"/>
      <c r="E7" s="8"/>
      <c r="F7" s="15"/>
      <c r="G7" s="11"/>
      <c r="H7" s="8"/>
      <c r="I7" s="8"/>
      <c r="J7" s="11"/>
      <c r="K7" s="8"/>
      <c r="L7" s="8"/>
      <c r="M7" s="8"/>
      <c r="N7" s="11"/>
      <c r="O7" s="8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2.5" customHeight="1">
      <c r="A8" s="8" t="s">
        <v>40</v>
      </c>
      <c r="B8" s="9">
        <v>9.1</v>
      </c>
      <c r="C8" s="14"/>
      <c r="D8" s="15"/>
      <c r="E8" s="15"/>
      <c r="F8" s="15"/>
      <c r="G8" s="8"/>
      <c r="H8" s="11"/>
      <c r="I8" s="8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22.5" customHeight="1">
      <c r="A9" s="8" t="s">
        <v>41</v>
      </c>
      <c r="B9" s="9">
        <v>9.1</v>
      </c>
      <c r="C9" s="14"/>
      <c r="D9" s="15"/>
      <c r="E9" s="15"/>
      <c r="F9" s="15"/>
      <c r="G9" s="11"/>
      <c r="H9" s="11"/>
      <c r="I9" s="8"/>
      <c r="J9" s="11"/>
      <c r="K9" s="11"/>
      <c r="L9" s="11"/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22.5" customHeight="1">
      <c r="A10" s="8" t="s">
        <v>42</v>
      </c>
      <c r="B10" s="9">
        <v>9.1</v>
      </c>
      <c r="C10" s="14"/>
      <c r="D10" s="15"/>
      <c r="E10" s="15"/>
      <c r="F10" s="15"/>
      <c r="G10" s="11"/>
      <c r="H10" s="11"/>
      <c r="I10" s="11"/>
      <c r="J10" s="11"/>
      <c r="K10" s="11"/>
      <c r="L10" s="11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22.5" customHeight="1">
      <c r="A11" s="8" t="s">
        <v>43</v>
      </c>
      <c r="B11" s="9">
        <v>7.0</v>
      </c>
      <c r="C11" s="14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22.5" customHeight="1">
      <c r="A12" s="8" t="s">
        <v>44</v>
      </c>
      <c r="B12" s="9">
        <v>19.0</v>
      </c>
      <c r="C12" s="14"/>
      <c r="D12" s="15"/>
      <c r="E12" s="15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22.5" customHeight="1">
      <c r="A13" s="8" t="s">
        <v>45</v>
      </c>
      <c r="B13" s="9">
        <v>9.1</v>
      </c>
      <c r="C13" s="14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22.5" customHeight="1">
      <c r="A14" s="8" t="s">
        <v>46</v>
      </c>
      <c r="B14" s="9">
        <v>18.6</v>
      </c>
      <c r="C14" s="10"/>
      <c r="D14" s="15"/>
      <c r="E14" s="15"/>
      <c r="F14" s="15"/>
      <c r="G14" s="8"/>
      <c r="H14" s="8"/>
      <c r="I14" s="11"/>
      <c r="J14" s="11"/>
      <c r="K14" s="11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22.5" customHeight="1">
      <c r="A15" s="8" t="s">
        <v>47</v>
      </c>
      <c r="B15" s="9">
        <v>35.0</v>
      </c>
      <c r="C15" s="14"/>
      <c r="D15" s="15"/>
      <c r="E15" s="15"/>
      <c r="F15" s="15"/>
      <c r="G15" s="11"/>
      <c r="H15" s="11"/>
      <c r="I15" s="8"/>
      <c r="J15" s="11"/>
      <c r="K15" s="8"/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22.5" customHeight="1">
      <c r="A16" s="8" t="s">
        <v>48</v>
      </c>
      <c r="B16" s="9">
        <v>110.0</v>
      </c>
      <c r="C16" s="14"/>
      <c r="D16" s="15"/>
      <c r="E16" s="8"/>
      <c r="F16" s="8"/>
      <c r="G16" s="11"/>
      <c r="H16" s="11"/>
      <c r="I16" s="8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22.5" customHeight="1">
      <c r="A17" s="8" t="s">
        <v>49</v>
      </c>
      <c r="B17" s="9">
        <v>70.0</v>
      </c>
      <c r="C17" s="14"/>
      <c r="D17" s="15"/>
      <c r="E17" s="8"/>
      <c r="F17" s="15"/>
      <c r="G17" s="11"/>
      <c r="H17" s="11"/>
      <c r="I17" s="8"/>
      <c r="J17" s="11"/>
      <c r="K17" s="11"/>
      <c r="L17" s="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22.5" customHeight="1">
      <c r="A18" s="8" t="s">
        <v>95</v>
      </c>
      <c r="B18" s="9">
        <v>70.0</v>
      </c>
      <c r="C18" s="14"/>
      <c r="D18" s="8"/>
      <c r="E18" s="15"/>
      <c r="F18" s="15"/>
      <c r="G18" s="11"/>
      <c r="H18" s="11"/>
      <c r="I18" s="8"/>
      <c r="J18" s="11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22.5" customHeight="1">
      <c r="A19" s="8" t="s">
        <v>67</v>
      </c>
      <c r="B19" s="9">
        <v>10.0</v>
      </c>
      <c r="C19" s="14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22.5" customHeight="1">
      <c r="A20" s="8" t="s">
        <v>52</v>
      </c>
      <c r="B20" s="9">
        <v>40.0</v>
      </c>
      <c r="C20" s="14"/>
      <c r="D20" s="15"/>
      <c r="E20" s="15"/>
      <c r="F20" s="15"/>
      <c r="G20" s="11"/>
      <c r="H20" s="11"/>
      <c r="I20" s="11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22.5" customHeight="1">
      <c r="A21" s="8" t="s">
        <v>53</v>
      </c>
      <c r="B21" s="9">
        <v>18.0</v>
      </c>
      <c r="C21" s="14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22.5" customHeight="1">
      <c r="A22" s="8" t="s">
        <v>54</v>
      </c>
      <c r="B22" s="9">
        <v>15.0</v>
      </c>
      <c r="C22" s="14"/>
      <c r="D22" s="15"/>
      <c r="E22" s="15"/>
      <c r="F22" s="15"/>
      <c r="G22" s="11"/>
      <c r="H22" s="11"/>
      <c r="I22" s="8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6" t="s">
        <v>55</v>
      </c>
      <c r="B24" s="17"/>
      <c r="C24" s="2"/>
      <c r="D24" s="2"/>
      <c r="E24" s="18" t="s">
        <v>56</v>
      </c>
      <c r="F24" s="19"/>
      <c r="G24" s="19"/>
      <c r="H24" s="19"/>
      <c r="I24" s="19"/>
      <c r="J24" s="19"/>
      <c r="K24" s="19"/>
      <c r="L24" s="19"/>
      <c r="M24" s="2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 t="s">
        <v>57</v>
      </c>
      <c r="B25" s="21">
        <v>1.0</v>
      </c>
      <c r="C25" s="2"/>
      <c r="D25" s="2"/>
      <c r="E25" s="22" t="s">
        <v>58</v>
      </c>
      <c r="F25" s="19"/>
      <c r="G25" s="20"/>
      <c r="H25" s="23" t="str">
        <f>B25 &amp; " " &amp; F1 &amp; " - " &amp; B26 &amp; " " &amp; F1</f>
        <v>1 Nisan - 10 Nisan</v>
      </c>
      <c r="I25" s="19"/>
      <c r="J25" s="19"/>
      <c r="K25" s="19"/>
      <c r="L25" s="19"/>
      <c r="M25" s="2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 t="s">
        <v>59</v>
      </c>
      <c r="B26" s="21">
        <v>10.0</v>
      </c>
      <c r="C26" s="2"/>
      <c r="D26" s="2"/>
      <c r="E26" s="22" t="s">
        <v>60</v>
      </c>
      <c r="F26" s="19"/>
      <c r="G26" s="20"/>
      <c r="H26" s="23" t="str">
        <f>B1</f>
        <v>REYDEL</v>
      </c>
      <c r="I26" s="19"/>
      <c r="J26" s="19"/>
      <c r="K26" s="19"/>
      <c r="L26" s="19"/>
      <c r="M26" s="2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4"/>
      <c r="B27" s="24"/>
      <c r="C27" s="2"/>
      <c r="D27" s="2"/>
      <c r="E27" s="22" t="s">
        <v>61</v>
      </c>
      <c r="F27" s="19"/>
      <c r="G27" s="20"/>
      <c r="H27" s="52"/>
      <c r="I27" s="19"/>
      <c r="J27" s="19"/>
      <c r="K27" s="19"/>
      <c r="L27" s="19"/>
      <c r="M27" s="2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4"/>
      <c r="B28" s="24"/>
      <c r="C28" s="2"/>
      <c r="D28" s="2"/>
      <c r="E28" s="25"/>
      <c r="F28" s="25"/>
      <c r="G28" s="25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"/>
      <c r="B29" s="2"/>
      <c r="C29" s="2"/>
      <c r="D29" s="2"/>
      <c r="E29" s="23" t="s">
        <v>3</v>
      </c>
      <c r="F29" s="19"/>
      <c r="G29" s="19"/>
      <c r="H29" s="26" t="s">
        <v>62</v>
      </c>
      <c r="I29" s="19"/>
      <c r="J29" s="26" t="s">
        <v>4</v>
      </c>
      <c r="K29" s="19"/>
      <c r="L29" s="26" t="s">
        <v>63</v>
      </c>
      <c r="M29" s="2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"/>
      <c r="B30" s="2"/>
      <c r="C30" s="2"/>
      <c r="D30" s="2"/>
      <c r="E30" s="27" t="str">
        <f>IFERROR(__xludf.DUMMYFUNCTION("FILTER(
  A4:A22, 
  MMULT(
    ARRAYFORMULA(
      N(C4:AG22&lt;&gt;"""") * (COLUMN(C4:AG22) &gt;= ($B$25 + 2)) * (COLUMN(C4:AG22) &lt;= ($B$26 + 2))
    ),
    TRANSPOSE(COLUMN(C4:AG22)^0)
  )
)"),"#N/A")</f>
        <v>#N/A</v>
      </c>
      <c r="H30" s="1" t="str">
        <f t="shared" ref="H30:H41" si="1">IF(ISBLANK(E30), "", 
  SUMPRODUCT(
    (TRIM($A$4:$A$22) = TRIM(E30)) * (COLUMN($C$4:$AG$22) &gt;= $B$25 + 2) * (COLUMN($C$4:$AG$22) &lt;= $B$26 + 2) * VALUE($C$4:$AG$22)
  )
)</f>
        <v>#N/A</v>
      </c>
      <c r="J30" s="1" t="str">
        <f>IFERROR(__xludf.DUMMYFUNCTION("FILTER(
  B4:B22, 
  MMULT(
    ARRAYFORMULA(
      N(C4:AG22&lt;&gt;"""") * (COLUMN(C4:AG22)&gt;=($B$25+2)) * (COLUMN(C4:AG22)&lt;=($B$26+2))
    ),
    TRANSPOSE(COLUMN(C4:AG22)^0)
  )
)"),"#N/A")</f>
        <v>#N/A</v>
      </c>
      <c r="L30" s="1" t="str">
        <f t="shared" ref="L30:L41" si="2">H30*J30</f>
        <v>#N/A</v>
      </c>
      <c r="M30" s="29"/>
      <c r="N30" s="4"/>
      <c r="O30" s="30"/>
      <c r="P30" s="31"/>
      <c r="Q30" s="3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"/>
      <c r="B31" s="2"/>
      <c r="C31" s="2"/>
      <c r="D31" s="2"/>
      <c r="E31" s="27"/>
      <c r="H31" s="1" t="str">
        <f t="shared" si="1"/>
        <v/>
      </c>
      <c r="J31" s="1"/>
      <c r="L31" s="1">
        <f t="shared" si="2"/>
        <v>0</v>
      </c>
      <c r="M31" s="29"/>
      <c r="N31" s="4"/>
      <c r="O31" s="33"/>
      <c r="P31" s="34" t="s">
        <v>64</v>
      </c>
      <c r="Q31" s="3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"/>
      <c r="B32" s="2"/>
      <c r="C32" s="2"/>
      <c r="D32" s="2"/>
      <c r="E32" s="27"/>
      <c r="H32" s="1" t="str">
        <f t="shared" si="1"/>
        <v/>
      </c>
      <c r="J32" s="1"/>
      <c r="L32" s="1">
        <f t="shared" si="2"/>
        <v>0</v>
      </c>
      <c r="M32" s="29"/>
      <c r="N32" s="4"/>
      <c r="O32" s="33"/>
      <c r="P32" s="4"/>
      <c r="Q32" s="3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"/>
      <c r="B33" s="2"/>
      <c r="C33" s="2"/>
      <c r="D33" s="2"/>
      <c r="E33" s="27"/>
      <c r="H33" s="1" t="str">
        <f t="shared" si="1"/>
        <v/>
      </c>
      <c r="J33" s="1"/>
      <c r="L33" s="1">
        <f t="shared" si="2"/>
        <v>0</v>
      </c>
      <c r="M33" s="29"/>
      <c r="N33" s="4"/>
      <c r="O33" s="33"/>
      <c r="P33" s="4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"/>
      <c r="B34" s="2"/>
      <c r="C34" s="2"/>
      <c r="D34" s="2"/>
      <c r="E34" s="27"/>
      <c r="H34" s="1" t="str">
        <f t="shared" si="1"/>
        <v/>
      </c>
      <c r="J34" s="1"/>
      <c r="L34" s="1">
        <f t="shared" si="2"/>
        <v>0</v>
      </c>
      <c r="M34" s="29"/>
      <c r="N34" s="4"/>
      <c r="O34" s="36"/>
      <c r="P34" s="37"/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"/>
      <c r="B35" s="2"/>
      <c r="C35" s="2"/>
      <c r="D35" s="2"/>
      <c r="E35" s="27"/>
      <c r="H35" s="1" t="str">
        <f t="shared" si="1"/>
        <v/>
      </c>
      <c r="J35" s="1"/>
      <c r="L35" s="1">
        <f t="shared" si="2"/>
        <v>0</v>
      </c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9"/>
      <c r="AD35" s="4"/>
      <c r="AE35" s="4"/>
      <c r="AF35" s="4"/>
      <c r="AG35" s="4"/>
    </row>
    <row r="36">
      <c r="A36" s="2"/>
      <c r="B36" s="2"/>
      <c r="C36" s="2"/>
      <c r="D36" s="2"/>
      <c r="E36" s="27"/>
      <c r="H36" s="1" t="str">
        <f t="shared" si="1"/>
        <v/>
      </c>
      <c r="J36" s="1"/>
      <c r="L36" s="1">
        <f t="shared" si="2"/>
        <v>0</v>
      </c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"/>
      <c r="B37" s="2"/>
      <c r="C37" s="2"/>
      <c r="D37" s="2"/>
      <c r="E37" s="27"/>
      <c r="H37" s="1" t="str">
        <f t="shared" si="1"/>
        <v/>
      </c>
      <c r="J37" s="1"/>
      <c r="L37" s="1">
        <f t="shared" si="2"/>
        <v>0</v>
      </c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"/>
      <c r="B38" s="2"/>
      <c r="C38" s="2"/>
      <c r="D38" s="2"/>
      <c r="E38" s="27"/>
      <c r="H38" s="1" t="str">
        <f t="shared" si="1"/>
        <v/>
      </c>
      <c r="J38" s="1"/>
      <c r="L38" s="1">
        <f t="shared" si="2"/>
        <v>0</v>
      </c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"/>
      <c r="B39" s="2"/>
      <c r="C39" s="2"/>
      <c r="D39" s="2"/>
      <c r="E39" s="27"/>
      <c r="H39" s="1" t="str">
        <f t="shared" si="1"/>
        <v/>
      </c>
      <c r="J39" s="1"/>
      <c r="L39" s="1">
        <f t="shared" si="2"/>
        <v>0</v>
      </c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"/>
      <c r="B40" s="2"/>
      <c r="C40" s="2"/>
      <c r="D40" s="2"/>
      <c r="E40" s="27"/>
      <c r="H40" s="1" t="str">
        <f t="shared" si="1"/>
        <v/>
      </c>
      <c r="J40" s="1"/>
      <c r="L40" s="1">
        <f t="shared" si="2"/>
        <v>0</v>
      </c>
      <c r="M40" s="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"/>
      <c r="B41" s="2"/>
      <c r="C41" s="2"/>
      <c r="D41" s="2"/>
      <c r="E41" s="27"/>
      <c r="H41" s="1" t="str">
        <f t="shared" si="1"/>
        <v/>
      </c>
      <c r="J41" s="1"/>
      <c r="L41" s="1">
        <f t="shared" si="2"/>
        <v>0</v>
      </c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"/>
      <c r="B42" s="2"/>
      <c r="C42" s="2"/>
      <c r="D42" s="2"/>
      <c r="E42" s="40"/>
      <c r="F42" s="41"/>
      <c r="G42" s="42"/>
      <c r="H42" s="42"/>
      <c r="I42" s="42"/>
      <c r="J42" s="26" t="s">
        <v>65</v>
      </c>
      <c r="K42" s="42"/>
      <c r="L42" s="42" t="str">
        <f>SUM(L30:M39)</f>
        <v>#N/A</v>
      </c>
      <c r="M42" s="2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</sheetData>
  <mergeCells count="63">
    <mergeCell ref="E34:G34"/>
    <mergeCell ref="H34:I34"/>
    <mergeCell ref="J34:K34"/>
    <mergeCell ref="L34:M34"/>
    <mergeCell ref="H35:I35"/>
    <mergeCell ref="J35:K35"/>
    <mergeCell ref="L35:M35"/>
    <mergeCell ref="E35:G35"/>
    <mergeCell ref="E36:G36"/>
    <mergeCell ref="H36:I36"/>
    <mergeCell ref="J36:K36"/>
    <mergeCell ref="L36:M36"/>
    <mergeCell ref="E37:G37"/>
    <mergeCell ref="H37:I37"/>
    <mergeCell ref="E38:G38"/>
    <mergeCell ref="H38:I38"/>
    <mergeCell ref="J38:K38"/>
    <mergeCell ref="L38:M38"/>
    <mergeCell ref="H39:I39"/>
    <mergeCell ref="J39:K39"/>
    <mergeCell ref="L39:M39"/>
    <mergeCell ref="E39:G39"/>
    <mergeCell ref="E40:G40"/>
    <mergeCell ref="H40:I40"/>
    <mergeCell ref="J40:K40"/>
    <mergeCell ref="L40:M40"/>
    <mergeCell ref="E41:G41"/>
    <mergeCell ref="H41:I41"/>
    <mergeCell ref="L42:M42"/>
    <mergeCell ref="B1:C1"/>
    <mergeCell ref="F1:K1"/>
    <mergeCell ref="A24:B24"/>
    <mergeCell ref="E24:M24"/>
    <mergeCell ref="E25:G25"/>
    <mergeCell ref="H25:M25"/>
    <mergeCell ref="H26:M26"/>
    <mergeCell ref="E26:G26"/>
    <mergeCell ref="E27:G27"/>
    <mergeCell ref="H27:M27"/>
    <mergeCell ref="E29:G29"/>
    <mergeCell ref="H29:I29"/>
    <mergeCell ref="J29:K29"/>
    <mergeCell ref="L29:M29"/>
    <mergeCell ref="E30:G30"/>
    <mergeCell ref="H30:I30"/>
    <mergeCell ref="J30:K30"/>
    <mergeCell ref="L30:M30"/>
    <mergeCell ref="H31:I31"/>
    <mergeCell ref="J31:K31"/>
    <mergeCell ref="L31:M31"/>
    <mergeCell ref="J33:K33"/>
    <mergeCell ref="L33:M33"/>
    <mergeCell ref="E31:G31"/>
    <mergeCell ref="E32:G32"/>
    <mergeCell ref="H32:I32"/>
    <mergeCell ref="J32:K32"/>
    <mergeCell ref="L32:M32"/>
    <mergeCell ref="E33:G33"/>
    <mergeCell ref="H33:I33"/>
    <mergeCell ref="J37:K37"/>
    <mergeCell ref="L37:M37"/>
    <mergeCell ref="J41:K41"/>
    <mergeCell ref="L41:M41"/>
  </mergeCells>
  <dataValidations>
    <dataValidation type="custom" allowBlank="1" showDropDown="1" sqref="B4:C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